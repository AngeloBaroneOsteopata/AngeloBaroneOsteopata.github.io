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Pazienti" sheetId="2" state="visible" r:id="rId4"/>
    <sheet name="Fonti acquisizione" sheetId="3" state="visible" r:id="rId5"/>
    <sheet name="Riepilogo mensile" sheetId="4" state="visible" r:id="rId6"/>
    <sheet name="Capacità San Donato" sheetId="5" state="visible" r:id="rId7"/>
    <sheet name="Routine SEO-GA4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<sst xmlns="http://schemas.openxmlformats.org/spreadsheetml/2006/main" count="92" uniqueCount="63">
  <si>
    <t xml:space="preserve">Monitoraggio entrate e acquisizione pazienti</t>
  </si>
  <si>
    <t xml:space="preserve">Studio Angelo Barone — San Donato Milanese, Cantù, Giussano</t>
  </si>
  <si>
    <t xml:space="preserve">Come usare questo file</t>
  </si>
  <si>
    <t xml:space="preserve">1) Ogni seduta va registrata nel foglio 'Pazienti' (data, sede, tariffa, nuovo/ritorno, come ti ha trovato).</t>
  </si>
  <si>
    <t xml:space="preserve">2) I fogli 'Riepilogo mensile', 'Fonti acquisizione' e 'Capacità San Donato' si aggiornano da soli.</t>
  </si>
  <si>
    <t xml:space="preserve">3) Il foglio 'Routine SEO-GA4' è per la routine quindicinale (Search Console + eventi GA4).</t>
  </si>
  <si>
    <t xml:space="preserve">Tariffe di riferimento</t>
  </si>
  <si>
    <t xml:space="preserve">Sede</t>
  </si>
  <si>
    <t xml:space="preserve">Tariffa (€)</t>
  </si>
  <si>
    <t xml:space="preserve">Note</t>
  </si>
  <si>
    <t xml:space="preserve">San Donato</t>
  </si>
  <si>
    <t xml:space="preserve">Cantù</t>
  </si>
  <si>
    <t xml:space="preserve">Giussano</t>
  </si>
  <si>
    <t xml:space="preserve">Quota netta 70% = 42€ (CAP Salute 30%)</t>
  </si>
  <si>
    <t xml:space="preserve">Riepilogo da inizio tracking</t>
  </si>
  <si>
    <t xml:space="preserve">Sedute registrate</t>
  </si>
  <si>
    <t xml:space="preserve">Pazienti nuovi</t>
  </si>
  <si>
    <t xml:space="preserve">Entrate totali (€)</t>
  </si>
  <si>
    <t xml:space="preserve">Canale di acquisizione più frequente</t>
  </si>
  <si>
    <t xml:space="preserve">Occupazione media San Donato (su slot tracciati)</t>
  </si>
  <si>
    <t xml:space="preserve">Soglie costo/paziente (da resoconto, per futura campagna paid)</t>
  </si>
  <si>
    <t xml:space="preserve">&lt; 100 € / paziente → molto profittevole</t>
  </si>
  <si>
    <t xml:space="preserve">&lt; 120 € / paziente → attivo, sostenibile</t>
  </si>
  <si>
    <t xml:space="preserve">&gt; 200 € / paziente → fermare la campagna</t>
  </si>
  <si>
    <t xml:space="preserve">Data</t>
  </si>
  <si>
    <t xml:space="preserve">Tipo seduta</t>
  </si>
  <si>
    <t xml:space="preserve">Nuovo/Ritorno</t>
  </si>
  <si>
    <t xml:space="preserve">Come ti ha trovato</t>
  </si>
  <si>
    <t xml:space="preserve">Canale (pazienti NUOVI, da inizio tracking)</t>
  </si>
  <si>
    <t xml:space="preserve">N. pazienti</t>
  </si>
  <si>
    <t xml:space="preserve">% sul totale nuovi</t>
  </si>
  <si>
    <t xml:space="preserve">Google (ricerca)</t>
  </si>
  <si>
    <t xml:space="preserve">Google Maps/GBP</t>
  </si>
  <si>
    <t xml:space="preserve">Passaparola</t>
  </si>
  <si>
    <t xml:space="preserve">Biglietto/QR</t>
  </si>
  <si>
    <t xml:space="preserve">Recensione lasciata</t>
  </si>
  <si>
    <t xml:space="preserve">Social</t>
  </si>
  <si>
    <t xml:space="preserve">Farmacia</t>
  </si>
  <si>
    <t xml:space="preserve">Sito web diretto</t>
  </si>
  <si>
    <t xml:space="preserve">Altro/Non specificato</t>
  </si>
  <si>
    <t xml:space="preserve">Nota: questi dati hanno senso solo dopo alcune settimane di raccolta — con pochi pazienti il quadro non è ancora rappresentativo.</t>
  </si>
  <si>
    <t xml:space="preserve">Riepilogo per sede e mese</t>
  </si>
  <si>
    <t xml:space="preserve">Mese</t>
  </si>
  <si>
    <t xml:space="preserve">N. sedute</t>
  </si>
  <si>
    <t xml:space="preserve">N. pazienti nuovi</t>
  </si>
  <si>
    <t xml:space="preserve">Entrate (€)</t>
  </si>
  <si>
    <t xml:space="preserve">Totale mensile (tutte le sedi)</t>
  </si>
  <si>
    <t xml:space="preserve">Occupazione settimanale — San Donato</t>
  </si>
  <si>
    <t xml:space="preserve">Slot disponibili: stima 17/settimana con il nuovo orario (Lun/Mar 8-20, Mer e Sab mattina). Verifica e correggi col dato reale da Calendly.</t>
  </si>
  <si>
    <t xml:space="preserve">Settimana (inizio lunedì)</t>
  </si>
  <si>
    <t xml:space="preserve">Slot disponibili</t>
  </si>
  <si>
    <t xml:space="preserve">Slot occupati</t>
  </si>
  <si>
    <t xml:space="preserve">% Occupazione</t>
  </si>
  <si>
    <t xml:space="preserve">Entrate settimana (€)</t>
  </si>
  <si>
    <t xml:space="preserve">Routine quindicinale — Search Console &amp; GA4</t>
  </si>
  <si>
    <t xml:space="preserve">Search Console: query in posizione 8-20 con CTR basso → candidate a riscrivere title/description.</t>
  </si>
  <si>
    <t xml:space="preserve">GA4: andamento eventi chiave click_calendly / click_whatsapp / click_telefono.</t>
  </si>
  <si>
    <t xml:space="preserve">Recensioni: nuove recensioni Google e relativa fonte (se nota).</t>
  </si>
  <si>
    <t xml:space="preserve">Data controllo</t>
  </si>
  <si>
    <t xml:space="preserve">Tipo</t>
  </si>
  <si>
    <t xml:space="preserve">Voce (query/evento/recensione)</t>
  </si>
  <si>
    <t xml:space="preserve">Valore / posizione / note</t>
  </si>
  <si>
    <t xml:space="preserve">Azione decisa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</si>
</sst>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General"/>
    <numFmt numFmtId="166" formatCode="#,##0.00&quot; €&quot;"/>
    <numFmt numFmtId="167" formatCode="0.0%"/>
    <numFmt numFmtId="168" formatCode="dd/mm/yyyy"/>
    <numFmt numFmtId="169" formatCode="mmm\ yyyy"/>
    <numFmt numFmtId="170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A5560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8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A5560"/>
        <bgColor rgb="FF3333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A556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8"/>
    <col collapsed="false" customWidth="true" hidden="false" outlineLevel="0" max="3" min="3" style="0" width="3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4" t="s">
        <v>7</v>
      </c>
      <c r="B10" s="4" t="s">
        <v>8</v>
      </c>
      <c r="C10" s="4" t="s">
        <v>9</v>
      </c>
    </row>
    <row r="11" customFormat="false" ht="15" hidden="false" customHeight="false" outlineLevel="0" collapsed="false">
      <c r="A11" s="5" t="s">
        <v>10</v>
      </c>
      <c r="B11" s="5" t="n">
        <v>65</v>
      </c>
      <c r="C11" s="2"/>
    </row>
    <row r="12" customFormat="false" ht="15" hidden="false" customHeight="false" outlineLevel="0" collapsed="false">
      <c r="A12" s="5" t="s">
        <v>11</v>
      </c>
      <c r="B12" s="5" t="n">
        <v>70</v>
      </c>
      <c r="C12" s="2"/>
    </row>
    <row r="13" customFormat="false" ht="15" hidden="false" customHeight="false" outlineLevel="0" collapsed="false">
      <c r="A13" s="5" t="s">
        <v>12</v>
      </c>
      <c r="B13" s="5" t="n">
        <v>60</v>
      </c>
      <c r="C13" s="2" t="s">
        <v>13</v>
      </c>
    </row>
    <row r="15" customFormat="false" ht="15" hidden="false" customHeight="false" outlineLevel="0" collapsed="false">
      <c r="A15" s="3" t="s">
        <v>14</v>
      </c>
    </row>
    <row r="16" customFormat="false" ht="15" hidden="false" customHeight="false" outlineLevel="0" collapsed="false">
      <c r="A16" s="6" t="s">
        <v>15</v>
      </c>
      <c r="B16" s="7" t="n">
        <f aca="false">COUNT(Pazienti!A2:A501)</f>
        <v>0</v>
      </c>
    </row>
    <row r="17" customFormat="false" ht="15" hidden="false" customHeight="false" outlineLevel="0" collapsed="false">
      <c r="A17" s="6" t="s">
        <v>16</v>
      </c>
      <c r="B17" s="7" t="n">
        <f aca="false">COUNTIF(Pazienti!E2:E501,"Nuovo")</f>
        <v>0</v>
      </c>
    </row>
    <row r="18" customFormat="false" ht="15" hidden="false" customHeight="false" outlineLevel="0" collapsed="false">
      <c r="A18" s="6" t="s">
        <v>17</v>
      </c>
      <c r="B18" s="8" t="n">
        <f aca="false">SUM(Pazienti!D2:D501)</f>
        <v>0</v>
      </c>
    </row>
    <row r="19" customFormat="false" ht="15" hidden="false" customHeight="false" outlineLevel="0" collapsed="false">
      <c r="A19" s="6" t="s">
        <v>18</v>
      </c>
      <c r="B19" s="7" t="str">
        <f aca="false">IF(SUM('Fonti acquisizione'!B2:B9)=0,"— nessun dato ancora —",INDEX('Fonti acquisizione'!A2:A9,MATCH(MAX('Fonti acquisizione'!B2:B9),'Fonti acquisizione'!B2:B9,0)))</f>
        <v>— nessun dato ancora —</v>
      </c>
    </row>
    <row r="20" customFormat="false" ht="15" hidden="false" customHeight="false" outlineLevel="0" collapsed="false">
      <c r="A20" s="6" t="s">
        <v>19</v>
      </c>
      <c r="B20" s="9" t="n">
        <f aca="false">IF(COUNT('Capacità San Donato'!D2:D53)=0,"— nessun dato ancora —",AVERAGE('Capacità San Donato'!D2:D53))</f>
        <v>0</v>
      </c>
    </row>
    <row r="22" customFormat="false" ht="15" hidden="false" customHeight="false" outlineLevel="0" collapsed="false">
      <c r="A22" s="3" t="s">
        <v>20</v>
      </c>
    </row>
    <row r="23" customFormat="false" ht="15" hidden="false" customHeight="false" outlineLevel="0" collapsed="false">
      <c r="A23" s="2" t="s">
        <v>21</v>
      </c>
    </row>
    <row r="24" customFormat="false" ht="15" hidden="false" customHeight="false" outlineLevel="0" collapsed="false">
      <c r="A24" s="2" t="s">
        <v>22</v>
      </c>
    </row>
    <row r="25" customFormat="false" ht="15" hidden="false" customHeight="false" outlineLevel="0" collapsed="false">
      <c r="A25" s="2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6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22"/>
    <col collapsed="false" customWidth="true" hidden="false" outlineLevel="0" max="7" min="7" style="0" width="36"/>
  </cols>
  <sheetData>
    <row r="1" customFormat="false" ht="15" hidden="false" customHeight="false" outlineLevel="0" collapsed="false">
      <c r="A1" s="10" t="s">
        <v>24</v>
      </c>
      <c r="B1" s="10" t="s">
        <v>7</v>
      </c>
      <c r="C1" s="10" t="s">
        <v>25</v>
      </c>
      <c r="D1" s="10" t="s">
        <v>8</v>
      </c>
      <c r="E1" s="10" t="s">
        <v>26</v>
      </c>
      <c r="F1" s="10" t="s">
        <v>27</v>
      </c>
      <c r="G1" s="10" t="s">
        <v>9</v>
      </c>
    </row>
    <row r="2" customFormat="false" ht="15" hidden="false" customHeight="false" outlineLevel="0" collapsed="false">
      <c r="A2" s="11"/>
      <c r="D2" s="12"/>
    </row>
    <row r="3" customFormat="false" ht="15" hidden="false" customHeight="false" outlineLevel="0" collapsed="false">
      <c r="A3" s="11"/>
      <c r="D3" s="12"/>
    </row>
    <row r="4" customFormat="false" ht="15" hidden="false" customHeight="false" outlineLevel="0" collapsed="false">
      <c r="A4" s="11"/>
      <c r="D4" s="12"/>
    </row>
    <row r="5" customFormat="false" ht="15" hidden="false" customHeight="false" outlineLevel="0" collapsed="false">
      <c r="A5" s="11"/>
      <c r="D5" s="12"/>
    </row>
    <row r="6" customFormat="false" ht="15" hidden="false" customHeight="false" outlineLevel="0" collapsed="false">
      <c r="A6" s="11"/>
      <c r="D6" s="12"/>
    </row>
    <row r="7" customFormat="false" ht="15" hidden="false" customHeight="false" outlineLevel="0" collapsed="false">
      <c r="A7" s="11"/>
      <c r="D7" s="12"/>
    </row>
    <row r="8" customFormat="false" ht="15" hidden="false" customHeight="false" outlineLevel="0" collapsed="false">
      <c r="A8" s="11"/>
      <c r="D8" s="12"/>
    </row>
    <row r="9" customFormat="false" ht="15" hidden="false" customHeight="false" outlineLevel="0" collapsed="false">
      <c r="A9" s="11"/>
      <c r="D9" s="12"/>
    </row>
    <row r="10" customFormat="false" ht="15" hidden="false" customHeight="false" outlineLevel="0" collapsed="false">
      <c r="A10" s="11"/>
      <c r="D10" s="12"/>
    </row>
    <row r="11" customFormat="false" ht="15" hidden="false" customHeight="false" outlineLevel="0" collapsed="false">
      <c r="A11" s="11"/>
      <c r="D11" s="12"/>
    </row>
    <row r="12" customFormat="false" ht="15" hidden="false" customHeight="false" outlineLevel="0" collapsed="false">
      <c r="A12" s="11"/>
      <c r="D12" s="12"/>
    </row>
    <row r="13" customFormat="false" ht="15" hidden="false" customHeight="false" outlineLevel="0" collapsed="false">
      <c r="A13" s="11"/>
      <c r="D13" s="12"/>
    </row>
    <row r="14" customFormat="false" ht="15" hidden="false" customHeight="false" outlineLevel="0" collapsed="false">
      <c r="A14" s="11"/>
      <c r="D14" s="12"/>
    </row>
    <row r="15" customFormat="false" ht="15" hidden="false" customHeight="false" outlineLevel="0" collapsed="false">
      <c r="A15" s="11"/>
      <c r="D15" s="12"/>
    </row>
    <row r="16" customFormat="false" ht="15" hidden="false" customHeight="false" outlineLevel="0" collapsed="false">
      <c r="A16" s="11"/>
      <c r="D16" s="12"/>
    </row>
    <row r="17" customFormat="false" ht="15" hidden="false" customHeight="false" outlineLevel="0" collapsed="false">
      <c r="A17" s="11"/>
      <c r="D17" s="12"/>
    </row>
    <row r="18" customFormat="false" ht="15" hidden="false" customHeight="false" outlineLevel="0" collapsed="false">
      <c r="A18" s="11"/>
      <c r="D18" s="12"/>
    </row>
    <row r="19" customFormat="false" ht="15" hidden="false" customHeight="false" outlineLevel="0" collapsed="false">
      <c r="A19" s="11"/>
      <c r="D19" s="12"/>
    </row>
    <row r="20" customFormat="false" ht="15" hidden="false" customHeight="false" outlineLevel="0" collapsed="false">
      <c r="A20" s="11"/>
      <c r="D20" s="12"/>
    </row>
    <row r="21" customFormat="false" ht="15" hidden="false" customHeight="false" outlineLevel="0" collapsed="false">
      <c r="A21" s="11"/>
      <c r="D21" s="12"/>
    </row>
    <row r="22" customFormat="false" ht="15" hidden="false" customHeight="false" outlineLevel="0" collapsed="false">
      <c r="A22" s="11"/>
      <c r="D22" s="12"/>
    </row>
    <row r="23" customFormat="false" ht="15" hidden="false" customHeight="false" outlineLevel="0" collapsed="false">
      <c r="A23" s="11"/>
      <c r="D23" s="12"/>
    </row>
    <row r="24" customFormat="false" ht="15" hidden="false" customHeight="false" outlineLevel="0" collapsed="false">
      <c r="A24" s="11"/>
      <c r="D24" s="12"/>
    </row>
    <row r="25" customFormat="false" ht="15" hidden="false" customHeight="false" outlineLevel="0" collapsed="false">
      <c r="A25" s="11"/>
      <c r="D25" s="12"/>
    </row>
    <row r="26" customFormat="false" ht="15" hidden="false" customHeight="false" outlineLevel="0" collapsed="false">
      <c r="A26" s="11"/>
      <c r="D26" s="12"/>
    </row>
    <row r="27" customFormat="false" ht="15" hidden="false" customHeight="false" outlineLevel="0" collapsed="false">
      <c r="A27" s="11"/>
      <c r="D27" s="12"/>
    </row>
    <row r="28" customFormat="false" ht="15" hidden="false" customHeight="false" outlineLevel="0" collapsed="false">
      <c r="A28" s="11"/>
      <c r="D28" s="12"/>
    </row>
    <row r="29" customFormat="false" ht="15" hidden="false" customHeight="false" outlineLevel="0" collapsed="false">
      <c r="A29" s="11"/>
      <c r="D29" s="12"/>
    </row>
    <row r="30" customFormat="false" ht="15" hidden="false" customHeight="false" outlineLevel="0" collapsed="false">
      <c r="A30" s="11"/>
      <c r="D30" s="12"/>
    </row>
    <row r="31" customFormat="false" ht="15" hidden="false" customHeight="false" outlineLevel="0" collapsed="false">
      <c r="A31" s="11"/>
      <c r="D31" s="12"/>
    </row>
    <row r="32" customFormat="false" ht="15" hidden="false" customHeight="false" outlineLevel="0" collapsed="false">
      <c r="A32" s="11"/>
      <c r="D32" s="12"/>
    </row>
    <row r="33" customFormat="false" ht="15" hidden="false" customHeight="false" outlineLevel="0" collapsed="false">
      <c r="A33" s="11"/>
      <c r="D33" s="12"/>
    </row>
    <row r="34" customFormat="false" ht="15" hidden="false" customHeight="false" outlineLevel="0" collapsed="false">
      <c r="A34" s="11"/>
      <c r="D34" s="12"/>
    </row>
    <row r="35" customFormat="false" ht="15" hidden="false" customHeight="false" outlineLevel="0" collapsed="false">
      <c r="A35" s="11"/>
      <c r="D35" s="12"/>
    </row>
    <row r="36" customFormat="false" ht="15" hidden="false" customHeight="false" outlineLevel="0" collapsed="false">
      <c r="A36" s="11"/>
      <c r="D36" s="12"/>
    </row>
    <row r="37" customFormat="false" ht="15" hidden="false" customHeight="false" outlineLevel="0" collapsed="false">
      <c r="A37" s="11"/>
      <c r="D37" s="12"/>
    </row>
    <row r="38" customFormat="false" ht="15" hidden="false" customHeight="false" outlineLevel="0" collapsed="false">
      <c r="A38" s="11"/>
      <c r="D38" s="12"/>
    </row>
    <row r="39" customFormat="false" ht="15" hidden="false" customHeight="false" outlineLevel="0" collapsed="false">
      <c r="A39" s="11"/>
      <c r="D39" s="12"/>
    </row>
    <row r="40" customFormat="false" ht="15" hidden="false" customHeight="false" outlineLevel="0" collapsed="false">
      <c r="A40" s="11"/>
      <c r="D40" s="12"/>
    </row>
    <row r="41" customFormat="false" ht="15" hidden="false" customHeight="false" outlineLevel="0" collapsed="false">
      <c r="A41" s="11"/>
      <c r="D41" s="12"/>
    </row>
    <row r="42" customFormat="false" ht="15" hidden="false" customHeight="false" outlineLevel="0" collapsed="false">
      <c r="A42" s="11"/>
      <c r="D42" s="12"/>
    </row>
    <row r="43" customFormat="false" ht="15" hidden="false" customHeight="false" outlineLevel="0" collapsed="false">
      <c r="A43" s="11"/>
      <c r="D43" s="12"/>
    </row>
    <row r="44" customFormat="false" ht="15" hidden="false" customHeight="false" outlineLevel="0" collapsed="false">
      <c r="A44" s="11"/>
      <c r="D44" s="12"/>
    </row>
    <row r="45" customFormat="false" ht="15" hidden="false" customHeight="false" outlineLevel="0" collapsed="false">
      <c r="A45" s="11"/>
      <c r="D45" s="12"/>
    </row>
    <row r="46" customFormat="false" ht="15" hidden="false" customHeight="false" outlineLevel="0" collapsed="false">
      <c r="A46" s="11"/>
      <c r="D46" s="12"/>
    </row>
    <row r="47" customFormat="false" ht="15" hidden="false" customHeight="false" outlineLevel="0" collapsed="false">
      <c r="A47" s="11"/>
      <c r="D47" s="12"/>
    </row>
    <row r="48" customFormat="false" ht="15" hidden="false" customHeight="false" outlineLevel="0" collapsed="false">
      <c r="A48" s="11"/>
      <c r="D48" s="12"/>
    </row>
    <row r="49" customFormat="false" ht="15" hidden="false" customHeight="false" outlineLevel="0" collapsed="false">
      <c r="A49" s="11"/>
      <c r="D49" s="12"/>
    </row>
    <row r="50" customFormat="false" ht="15" hidden="false" customHeight="false" outlineLevel="0" collapsed="false">
      <c r="A50" s="11"/>
      <c r="D50" s="12"/>
    </row>
    <row r="51" customFormat="false" ht="15" hidden="false" customHeight="false" outlineLevel="0" collapsed="false">
      <c r="A51" s="11"/>
      <c r="D51" s="12"/>
    </row>
    <row r="52" customFormat="false" ht="15" hidden="false" customHeight="false" outlineLevel="0" collapsed="false">
      <c r="A52" s="11"/>
      <c r="D52" s="12"/>
    </row>
    <row r="53" customFormat="false" ht="15" hidden="false" customHeight="false" outlineLevel="0" collapsed="false">
      <c r="A53" s="11"/>
      <c r="D53" s="12"/>
    </row>
    <row r="54" customFormat="false" ht="15" hidden="false" customHeight="false" outlineLevel="0" collapsed="false">
      <c r="A54" s="11"/>
      <c r="D54" s="12"/>
    </row>
    <row r="55" customFormat="false" ht="15" hidden="false" customHeight="false" outlineLevel="0" collapsed="false">
      <c r="A55" s="11"/>
      <c r="D55" s="12"/>
    </row>
    <row r="56" customFormat="false" ht="15" hidden="false" customHeight="false" outlineLevel="0" collapsed="false">
      <c r="A56" s="11"/>
      <c r="D56" s="12"/>
    </row>
    <row r="57" customFormat="false" ht="15" hidden="false" customHeight="false" outlineLevel="0" collapsed="false">
      <c r="A57" s="11"/>
      <c r="D57" s="12"/>
    </row>
    <row r="58" customFormat="false" ht="15" hidden="false" customHeight="false" outlineLevel="0" collapsed="false">
      <c r="A58" s="11"/>
      <c r="D58" s="12"/>
    </row>
    <row r="59" customFormat="false" ht="15" hidden="false" customHeight="false" outlineLevel="0" collapsed="false">
      <c r="A59" s="11"/>
      <c r="D59" s="12"/>
    </row>
    <row r="60" customFormat="false" ht="15" hidden="false" customHeight="false" outlineLevel="0" collapsed="false">
      <c r="A60" s="11"/>
      <c r="D60" s="12"/>
    </row>
    <row r="61" customFormat="false" ht="15" hidden="false" customHeight="false" outlineLevel="0" collapsed="false">
      <c r="A61" s="11"/>
      <c r="D61" s="12"/>
    </row>
    <row r="62" customFormat="false" ht="15" hidden="false" customHeight="false" outlineLevel="0" collapsed="false">
      <c r="A62" s="11"/>
      <c r="D62" s="12"/>
    </row>
    <row r="63" customFormat="false" ht="15" hidden="false" customHeight="false" outlineLevel="0" collapsed="false">
      <c r="A63" s="11"/>
      <c r="D63" s="12"/>
    </row>
    <row r="64" customFormat="false" ht="15" hidden="false" customHeight="false" outlineLevel="0" collapsed="false">
      <c r="A64" s="11"/>
      <c r="D64" s="12"/>
    </row>
    <row r="65" customFormat="false" ht="15" hidden="false" customHeight="false" outlineLevel="0" collapsed="false">
      <c r="A65" s="11"/>
      <c r="D65" s="12"/>
    </row>
    <row r="66" customFormat="false" ht="15" hidden="false" customHeight="false" outlineLevel="0" collapsed="false">
      <c r="A66" s="11"/>
      <c r="D66" s="12"/>
    </row>
    <row r="67" customFormat="false" ht="15" hidden="false" customHeight="false" outlineLevel="0" collapsed="false">
      <c r="A67" s="11"/>
      <c r="D67" s="12"/>
    </row>
    <row r="68" customFormat="false" ht="15" hidden="false" customHeight="false" outlineLevel="0" collapsed="false">
      <c r="A68" s="11"/>
      <c r="D68" s="12"/>
    </row>
    <row r="69" customFormat="false" ht="15" hidden="false" customHeight="false" outlineLevel="0" collapsed="false">
      <c r="A69" s="11"/>
      <c r="D69" s="12"/>
    </row>
    <row r="70" customFormat="false" ht="15" hidden="false" customHeight="false" outlineLevel="0" collapsed="false">
      <c r="A70" s="11"/>
      <c r="D70" s="12"/>
    </row>
    <row r="71" customFormat="false" ht="15" hidden="false" customHeight="false" outlineLevel="0" collapsed="false">
      <c r="A71" s="11"/>
      <c r="D71" s="12"/>
    </row>
    <row r="72" customFormat="false" ht="15" hidden="false" customHeight="false" outlineLevel="0" collapsed="false">
      <c r="A72" s="11"/>
      <c r="D72" s="12"/>
    </row>
    <row r="73" customFormat="false" ht="15" hidden="false" customHeight="false" outlineLevel="0" collapsed="false">
      <c r="A73" s="11"/>
      <c r="D73" s="12"/>
    </row>
    <row r="74" customFormat="false" ht="15" hidden="false" customHeight="false" outlineLevel="0" collapsed="false">
      <c r="A74" s="11"/>
      <c r="D74" s="12"/>
    </row>
    <row r="75" customFormat="false" ht="15" hidden="false" customHeight="false" outlineLevel="0" collapsed="false">
      <c r="A75" s="11"/>
      <c r="D75" s="12"/>
    </row>
    <row r="76" customFormat="false" ht="15" hidden="false" customHeight="false" outlineLevel="0" collapsed="false">
      <c r="A76" s="11"/>
      <c r="D76" s="12"/>
    </row>
    <row r="77" customFormat="false" ht="15" hidden="false" customHeight="false" outlineLevel="0" collapsed="false">
      <c r="A77" s="11"/>
      <c r="D77" s="12"/>
    </row>
    <row r="78" customFormat="false" ht="15" hidden="false" customHeight="false" outlineLevel="0" collapsed="false">
      <c r="A78" s="11"/>
      <c r="D78" s="12"/>
    </row>
    <row r="79" customFormat="false" ht="15" hidden="false" customHeight="false" outlineLevel="0" collapsed="false">
      <c r="A79" s="11"/>
      <c r="D79" s="12"/>
    </row>
    <row r="80" customFormat="false" ht="15" hidden="false" customHeight="false" outlineLevel="0" collapsed="false">
      <c r="A80" s="11"/>
      <c r="D80" s="12"/>
    </row>
    <row r="81" customFormat="false" ht="15" hidden="false" customHeight="false" outlineLevel="0" collapsed="false">
      <c r="A81" s="11"/>
      <c r="D81" s="12"/>
    </row>
    <row r="82" customFormat="false" ht="15" hidden="false" customHeight="false" outlineLevel="0" collapsed="false">
      <c r="A82" s="11"/>
      <c r="D82" s="12"/>
    </row>
    <row r="83" customFormat="false" ht="15" hidden="false" customHeight="false" outlineLevel="0" collapsed="false">
      <c r="A83" s="11"/>
      <c r="D83" s="12"/>
    </row>
    <row r="84" customFormat="false" ht="15" hidden="false" customHeight="false" outlineLevel="0" collapsed="false">
      <c r="A84" s="11"/>
      <c r="D84" s="12"/>
    </row>
    <row r="85" customFormat="false" ht="15" hidden="false" customHeight="false" outlineLevel="0" collapsed="false">
      <c r="A85" s="11"/>
      <c r="D85" s="12"/>
    </row>
    <row r="86" customFormat="false" ht="15" hidden="false" customHeight="false" outlineLevel="0" collapsed="false">
      <c r="A86" s="11"/>
      <c r="D86" s="12"/>
    </row>
    <row r="87" customFormat="false" ht="15" hidden="false" customHeight="false" outlineLevel="0" collapsed="false">
      <c r="A87" s="11"/>
      <c r="D87" s="12"/>
    </row>
    <row r="88" customFormat="false" ht="15" hidden="false" customHeight="false" outlineLevel="0" collapsed="false">
      <c r="A88" s="11"/>
      <c r="D88" s="12"/>
    </row>
    <row r="89" customFormat="false" ht="15" hidden="false" customHeight="false" outlineLevel="0" collapsed="false">
      <c r="A89" s="11"/>
      <c r="D89" s="12"/>
    </row>
    <row r="90" customFormat="false" ht="15" hidden="false" customHeight="false" outlineLevel="0" collapsed="false">
      <c r="A90" s="11"/>
      <c r="D90" s="12"/>
    </row>
    <row r="91" customFormat="false" ht="15" hidden="false" customHeight="false" outlineLevel="0" collapsed="false">
      <c r="A91" s="11"/>
      <c r="D91" s="12"/>
    </row>
    <row r="92" customFormat="false" ht="15" hidden="false" customHeight="false" outlineLevel="0" collapsed="false">
      <c r="A92" s="11"/>
      <c r="D92" s="12"/>
    </row>
    <row r="93" customFormat="false" ht="15" hidden="false" customHeight="false" outlineLevel="0" collapsed="false">
      <c r="A93" s="11"/>
      <c r="D93" s="12"/>
    </row>
    <row r="94" customFormat="false" ht="15" hidden="false" customHeight="false" outlineLevel="0" collapsed="false">
      <c r="A94" s="11"/>
      <c r="D94" s="12"/>
    </row>
    <row r="95" customFormat="false" ht="15" hidden="false" customHeight="false" outlineLevel="0" collapsed="false">
      <c r="A95" s="11"/>
      <c r="D95" s="12"/>
    </row>
    <row r="96" customFormat="false" ht="15" hidden="false" customHeight="false" outlineLevel="0" collapsed="false">
      <c r="A96" s="11"/>
      <c r="D96" s="12"/>
    </row>
    <row r="97" customFormat="false" ht="15" hidden="false" customHeight="false" outlineLevel="0" collapsed="false">
      <c r="A97" s="11"/>
      <c r="D97" s="12"/>
    </row>
    <row r="98" customFormat="false" ht="15" hidden="false" customHeight="false" outlineLevel="0" collapsed="false">
      <c r="A98" s="11"/>
      <c r="D98" s="12"/>
    </row>
    <row r="99" customFormat="false" ht="15" hidden="false" customHeight="false" outlineLevel="0" collapsed="false">
      <c r="A99" s="11"/>
      <c r="D99" s="12"/>
    </row>
    <row r="100" customFormat="false" ht="15" hidden="false" customHeight="false" outlineLevel="0" collapsed="false">
      <c r="A100" s="11"/>
      <c r="D100" s="12"/>
    </row>
    <row r="101" customFormat="false" ht="15" hidden="false" customHeight="false" outlineLevel="0" collapsed="false">
      <c r="A101" s="11"/>
      <c r="D101" s="12"/>
    </row>
    <row r="102" customFormat="false" ht="15" hidden="false" customHeight="false" outlineLevel="0" collapsed="false">
      <c r="A102" s="11"/>
      <c r="D102" s="12"/>
    </row>
    <row r="103" customFormat="false" ht="15" hidden="false" customHeight="false" outlineLevel="0" collapsed="false">
      <c r="A103" s="11"/>
      <c r="D103" s="12"/>
    </row>
    <row r="104" customFormat="false" ht="15" hidden="false" customHeight="false" outlineLevel="0" collapsed="false">
      <c r="A104" s="11"/>
      <c r="D104" s="12"/>
    </row>
    <row r="105" customFormat="false" ht="15" hidden="false" customHeight="false" outlineLevel="0" collapsed="false">
      <c r="A105" s="11"/>
      <c r="D105" s="12"/>
    </row>
    <row r="106" customFormat="false" ht="15" hidden="false" customHeight="false" outlineLevel="0" collapsed="false">
      <c r="A106" s="11"/>
      <c r="D106" s="12"/>
    </row>
    <row r="107" customFormat="false" ht="15" hidden="false" customHeight="false" outlineLevel="0" collapsed="false">
      <c r="A107" s="11"/>
      <c r="D107" s="12"/>
    </row>
    <row r="108" customFormat="false" ht="15" hidden="false" customHeight="false" outlineLevel="0" collapsed="false">
      <c r="A108" s="11"/>
      <c r="D108" s="12"/>
    </row>
    <row r="109" customFormat="false" ht="15" hidden="false" customHeight="false" outlineLevel="0" collapsed="false">
      <c r="A109" s="11"/>
      <c r="D109" s="12"/>
    </row>
    <row r="110" customFormat="false" ht="15" hidden="false" customHeight="false" outlineLevel="0" collapsed="false">
      <c r="A110" s="11"/>
      <c r="D110" s="12"/>
    </row>
    <row r="111" customFormat="false" ht="15" hidden="false" customHeight="false" outlineLevel="0" collapsed="false">
      <c r="A111" s="11"/>
      <c r="D111" s="12"/>
    </row>
    <row r="112" customFormat="false" ht="15" hidden="false" customHeight="false" outlineLevel="0" collapsed="false">
      <c r="A112" s="11"/>
      <c r="D112" s="12"/>
    </row>
    <row r="113" customFormat="false" ht="15" hidden="false" customHeight="false" outlineLevel="0" collapsed="false">
      <c r="A113" s="11"/>
      <c r="D113" s="12"/>
    </row>
    <row r="114" customFormat="false" ht="15" hidden="false" customHeight="false" outlineLevel="0" collapsed="false">
      <c r="A114" s="11"/>
      <c r="D114" s="12"/>
    </row>
    <row r="115" customFormat="false" ht="15" hidden="false" customHeight="false" outlineLevel="0" collapsed="false">
      <c r="A115" s="11"/>
      <c r="D115" s="12"/>
    </row>
    <row r="116" customFormat="false" ht="15" hidden="false" customHeight="false" outlineLevel="0" collapsed="false">
      <c r="A116" s="11"/>
      <c r="D116" s="12"/>
    </row>
    <row r="117" customFormat="false" ht="15" hidden="false" customHeight="false" outlineLevel="0" collapsed="false">
      <c r="A117" s="11"/>
      <c r="D117" s="12"/>
    </row>
    <row r="118" customFormat="false" ht="15" hidden="false" customHeight="false" outlineLevel="0" collapsed="false">
      <c r="A118" s="11"/>
      <c r="D118" s="12"/>
    </row>
    <row r="119" customFormat="false" ht="15" hidden="false" customHeight="false" outlineLevel="0" collapsed="false">
      <c r="A119" s="11"/>
      <c r="D119" s="12"/>
    </row>
    <row r="120" customFormat="false" ht="15" hidden="false" customHeight="false" outlineLevel="0" collapsed="false">
      <c r="A120" s="11"/>
      <c r="D120" s="12"/>
    </row>
    <row r="121" customFormat="false" ht="15" hidden="false" customHeight="false" outlineLevel="0" collapsed="false">
      <c r="A121" s="11"/>
      <c r="D121" s="12"/>
    </row>
    <row r="122" customFormat="false" ht="15" hidden="false" customHeight="false" outlineLevel="0" collapsed="false">
      <c r="A122" s="11"/>
      <c r="D122" s="12"/>
    </row>
    <row r="123" customFormat="false" ht="15" hidden="false" customHeight="false" outlineLevel="0" collapsed="false">
      <c r="A123" s="11"/>
      <c r="D123" s="12"/>
    </row>
    <row r="124" customFormat="false" ht="15" hidden="false" customHeight="false" outlineLevel="0" collapsed="false">
      <c r="A124" s="11"/>
      <c r="D124" s="12"/>
    </row>
    <row r="125" customFormat="false" ht="15" hidden="false" customHeight="false" outlineLevel="0" collapsed="false">
      <c r="A125" s="11"/>
      <c r="D125" s="12"/>
    </row>
    <row r="126" customFormat="false" ht="15" hidden="false" customHeight="false" outlineLevel="0" collapsed="false">
      <c r="A126" s="11"/>
      <c r="D126" s="12"/>
    </row>
    <row r="127" customFormat="false" ht="15" hidden="false" customHeight="false" outlineLevel="0" collapsed="false">
      <c r="A127" s="11"/>
      <c r="D127" s="12"/>
    </row>
    <row r="128" customFormat="false" ht="15" hidden="false" customHeight="false" outlineLevel="0" collapsed="false">
      <c r="A128" s="11"/>
      <c r="D128" s="12"/>
    </row>
    <row r="129" customFormat="false" ht="15" hidden="false" customHeight="false" outlineLevel="0" collapsed="false">
      <c r="A129" s="11"/>
      <c r="D129" s="12"/>
    </row>
    <row r="130" customFormat="false" ht="15" hidden="false" customHeight="false" outlineLevel="0" collapsed="false">
      <c r="A130" s="11"/>
      <c r="D130" s="12"/>
    </row>
    <row r="131" customFormat="false" ht="15" hidden="false" customHeight="false" outlineLevel="0" collapsed="false">
      <c r="A131" s="11"/>
      <c r="D131" s="12"/>
    </row>
    <row r="132" customFormat="false" ht="15" hidden="false" customHeight="false" outlineLevel="0" collapsed="false">
      <c r="A132" s="11"/>
      <c r="D132" s="12"/>
    </row>
    <row r="133" customFormat="false" ht="15" hidden="false" customHeight="false" outlineLevel="0" collapsed="false">
      <c r="A133" s="11"/>
      <c r="D133" s="12"/>
    </row>
    <row r="134" customFormat="false" ht="15" hidden="false" customHeight="false" outlineLevel="0" collapsed="false">
      <c r="A134" s="11"/>
      <c r="D134" s="12"/>
    </row>
    <row r="135" customFormat="false" ht="15" hidden="false" customHeight="false" outlineLevel="0" collapsed="false">
      <c r="A135" s="11"/>
      <c r="D135" s="12"/>
    </row>
    <row r="136" customFormat="false" ht="15" hidden="false" customHeight="false" outlineLevel="0" collapsed="false">
      <c r="A136" s="11"/>
      <c r="D136" s="12"/>
    </row>
    <row r="137" customFormat="false" ht="15" hidden="false" customHeight="false" outlineLevel="0" collapsed="false">
      <c r="A137" s="11"/>
      <c r="D137" s="12"/>
    </row>
    <row r="138" customFormat="false" ht="15" hidden="false" customHeight="false" outlineLevel="0" collapsed="false">
      <c r="A138" s="11"/>
      <c r="D138" s="12"/>
    </row>
    <row r="139" customFormat="false" ht="15" hidden="false" customHeight="false" outlineLevel="0" collapsed="false">
      <c r="A139" s="11"/>
      <c r="D139" s="12"/>
    </row>
    <row r="140" customFormat="false" ht="15" hidden="false" customHeight="false" outlineLevel="0" collapsed="false">
      <c r="A140" s="11"/>
      <c r="D140" s="12"/>
    </row>
    <row r="141" customFormat="false" ht="15" hidden="false" customHeight="false" outlineLevel="0" collapsed="false">
      <c r="A141" s="11"/>
      <c r="D141" s="12"/>
    </row>
    <row r="142" customFormat="false" ht="15" hidden="false" customHeight="false" outlineLevel="0" collapsed="false">
      <c r="A142" s="11"/>
      <c r="D142" s="12"/>
    </row>
    <row r="143" customFormat="false" ht="15" hidden="false" customHeight="false" outlineLevel="0" collapsed="false">
      <c r="A143" s="11"/>
      <c r="D143" s="12"/>
    </row>
    <row r="144" customFormat="false" ht="15" hidden="false" customHeight="false" outlineLevel="0" collapsed="false">
      <c r="A144" s="11"/>
      <c r="D144" s="12"/>
    </row>
    <row r="145" customFormat="false" ht="15" hidden="false" customHeight="false" outlineLevel="0" collapsed="false">
      <c r="A145" s="11"/>
      <c r="D145" s="12"/>
    </row>
    <row r="146" customFormat="false" ht="15" hidden="false" customHeight="false" outlineLevel="0" collapsed="false">
      <c r="A146" s="11"/>
      <c r="D146" s="12"/>
    </row>
    <row r="147" customFormat="false" ht="15" hidden="false" customHeight="false" outlineLevel="0" collapsed="false">
      <c r="A147" s="11"/>
      <c r="D147" s="12"/>
    </row>
    <row r="148" customFormat="false" ht="15" hidden="false" customHeight="false" outlineLevel="0" collapsed="false">
      <c r="A148" s="11"/>
      <c r="D148" s="12"/>
    </row>
    <row r="149" customFormat="false" ht="15" hidden="false" customHeight="false" outlineLevel="0" collapsed="false">
      <c r="A149" s="11"/>
      <c r="D149" s="12"/>
    </row>
    <row r="150" customFormat="false" ht="15" hidden="false" customHeight="false" outlineLevel="0" collapsed="false">
      <c r="A150" s="11"/>
      <c r="D150" s="12"/>
    </row>
    <row r="151" customFormat="false" ht="15" hidden="false" customHeight="false" outlineLevel="0" collapsed="false">
      <c r="A151" s="11"/>
      <c r="D151" s="12"/>
    </row>
    <row r="152" customFormat="false" ht="15" hidden="false" customHeight="false" outlineLevel="0" collapsed="false">
      <c r="A152" s="11"/>
      <c r="D152" s="12"/>
    </row>
    <row r="153" customFormat="false" ht="15" hidden="false" customHeight="false" outlineLevel="0" collapsed="false">
      <c r="A153" s="11"/>
      <c r="D153" s="12"/>
    </row>
    <row r="154" customFormat="false" ht="15" hidden="false" customHeight="false" outlineLevel="0" collapsed="false">
      <c r="A154" s="11"/>
      <c r="D154" s="12"/>
    </row>
    <row r="155" customFormat="false" ht="15" hidden="false" customHeight="false" outlineLevel="0" collapsed="false">
      <c r="A155" s="11"/>
      <c r="D155" s="12"/>
    </row>
    <row r="156" customFormat="false" ht="15" hidden="false" customHeight="false" outlineLevel="0" collapsed="false">
      <c r="A156" s="11"/>
      <c r="D156" s="12"/>
    </row>
    <row r="157" customFormat="false" ht="15" hidden="false" customHeight="false" outlineLevel="0" collapsed="false">
      <c r="A157" s="11"/>
      <c r="D157" s="12"/>
    </row>
    <row r="158" customFormat="false" ht="15" hidden="false" customHeight="false" outlineLevel="0" collapsed="false">
      <c r="A158" s="11"/>
      <c r="D158" s="12"/>
    </row>
    <row r="159" customFormat="false" ht="15" hidden="false" customHeight="false" outlineLevel="0" collapsed="false">
      <c r="A159" s="11"/>
      <c r="D159" s="12"/>
    </row>
    <row r="160" customFormat="false" ht="15" hidden="false" customHeight="false" outlineLevel="0" collapsed="false">
      <c r="A160" s="11"/>
      <c r="D160" s="12"/>
    </row>
    <row r="161" customFormat="false" ht="15" hidden="false" customHeight="false" outlineLevel="0" collapsed="false">
      <c r="A161" s="11"/>
      <c r="D161" s="12"/>
    </row>
    <row r="162" customFormat="false" ht="15" hidden="false" customHeight="false" outlineLevel="0" collapsed="false">
      <c r="A162" s="11"/>
      <c r="D162" s="12"/>
    </row>
    <row r="163" customFormat="false" ht="15" hidden="false" customHeight="false" outlineLevel="0" collapsed="false">
      <c r="A163" s="11"/>
      <c r="D163" s="12"/>
    </row>
    <row r="164" customFormat="false" ht="15" hidden="false" customHeight="false" outlineLevel="0" collapsed="false">
      <c r="A164" s="11"/>
      <c r="D164" s="12"/>
    </row>
    <row r="165" customFormat="false" ht="15" hidden="false" customHeight="false" outlineLevel="0" collapsed="false">
      <c r="A165" s="11"/>
      <c r="D165" s="12"/>
    </row>
    <row r="166" customFormat="false" ht="15" hidden="false" customHeight="false" outlineLevel="0" collapsed="false">
      <c r="A166" s="11"/>
      <c r="D166" s="12"/>
    </row>
    <row r="167" customFormat="false" ht="15" hidden="false" customHeight="false" outlineLevel="0" collapsed="false">
      <c r="A167" s="11"/>
      <c r="D167" s="12"/>
    </row>
    <row r="168" customFormat="false" ht="15" hidden="false" customHeight="false" outlineLevel="0" collapsed="false">
      <c r="A168" s="11"/>
      <c r="D168" s="12"/>
    </row>
    <row r="169" customFormat="false" ht="15" hidden="false" customHeight="false" outlineLevel="0" collapsed="false">
      <c r="A169" s="11"/>
      <c r="D169" s="12"/>
    </row>
    <row r="170" customFormat="false" ht="15" hidden="false" customHeight="false" outlineLevel="0" collapsed="false">
      <c r="A170" s="11"/>
      <c r="D170" s="12"/>
    </row>
    <row r="171" customFormat="false" ht="15" hidden="false" customHeight="false" outlineLevel="0" collapsed="false">
      <c r="A171" s="11"/>
      <c r="D171" s="12"/>
    </row>
    <row r="172" customFormat="false" ht="15" hidden="false" customHeight="false" outlineLevel="0" collapsed="false">
      <c r="A172" s="11"/>
      <c r="D172" s="12"/>
    </row>
    <row r="173" customFormat="false" ht="15" hidden="false" customHeight="false" outlineLevel="0" collapsed="false">
      <c r="A173" s="11"/>
      <c r="D173" s="12"/>
    </row>
    <row r="174" customFormat="false" ht="15" hidden="false" customHeight="false" outlineLevel="0" collapsed="false">
      <c r="A174" s="11"/>
      <c r="D174" s="12"/>
    </row>
    <row r="175" customFormat="false" ht="15" hidden="false" customHeight="false" outlineLevel="0" collapsed="false">
      <c r="A175" s="11"/>
      <c r="D175" s="12"/>
    </row>
    <row r="176" customFormat="false" ht="15" hidden="false" customHeight="false" outlineLevel="0" collapsed="false">
      <c r="A176" s="11"/>
      <c r="D176" s="12"/>
    </row>
    <row r="177" customFormat="false" ht="15" hidden="false" customHeight="false" outlineLevel="0" collapsed="false">
      <c r="A177" s="11"/>
      <c r="D177" s="12"/>
    </row>
    <row r="178" customFormat="false" ht="15" hidden="false" customHeight="false" outlineLevel="0" collapsed="false">
      <c r="A178" s="11"/>
      <c r="D178" s="12"/>
    </row>
    <row r="179" customFormat="false" ht="15" hidden="false" customHeight="false" outlineLevel="0" collapsed="false">
      <c r="A179" s="11"/>
      <c r="D179" s="12"/>
    </row>
    <row r="180" customFormat="false" ht="15" hidden="false" customHeight="false" outlineLevel="0" collapsed="false">
      <c r="A180" s="11"/>
      <c r="D180" s="12"/>
    </row>
    <row r="181" customFormat="false" ht="15" hidden="false" customHeight="false" outlineLevel="0" collapsed="false">
      <c r="A181" s="11"/>
      <c r="D181" s="12"/>
    </row>
    <row r="182" customFormat="false" ht="15" hidden="false" customHeight="false" outlineLevel="0" collapsed="false">
      <c r="A182" s="11"/>
      <c r="D182" s="12"/>
    </row>
    <row r="183" customFormat="false" ht="15" hidden="false" customHeight="false" outlineLevel="0" collapsed="false">
      <c r="A183" s="11"/>
      <c r="D183" s="12"/>
    </row>
    <row r="184" customFormat="false" ht="15" hidden="false" customHeight="false" outlineLevel="0" collapsed="false">
      <c r="A184" s="11"/>
      <c r="D184" s="12"/>
    </row>
    <row r="185" customFormat="false" ht="15" hidden="false" customHeight="false" outlineLevel="0" collapsed="false">
      <c r="A185" s="11"/>
      <c r="D185" s="12"/>
    </row>
    <row r="186" customFormat="false" ht="15" hidden="false" customHeight="false" outlineLevel="0" collapsed="false">
      <c r="A186" s="11"/>
      <c r="D186" s="12"/>
    </row>
    <row r="187" customFormat="false" ht="15" hidden="false" customHeight="false" outlineLevel="0" collapsed="false">
      <c r="A187" s="11"/>
      <c r="D187" s="12"/>
    </row>
    <row r="188" customFormat="false" ht="15" hidden="false" customHeight="false" outlineLevel="0" collapsed="false">
      <c r="A188" s="11"/>
      <c r="D188" s="12"/>
    </row>
    <row r="189" customFormat="false" ht="15" hidden="false" customHeight="false" outlineLevel="0" collapsed="false">
      <c r="A189" s="11"/>
      <c r="D189" s="12"/>
    </row>
    <row r="190" customFormat="false" ht="15" hidden="false" customHeight="false" outlineLevel="0" collapsed="false">
      <c r="A190" s="11"/>
      <c r="D190" s="12"/>
    </row>
    <row r="191" customFormat="false" ht="15" hidden="false" customHeight="false" outlineLevel="0" collapsed="false">
      <c r="A191" s="11"/>
      <c r="D191" s="12"/>
    </row>
    <row r="192" customFormat="false" ht="15" hidden="false" customHeight="false" outlineLevel="0" collapsed="false">
      <c r="A192" s="11"/>
      <c r="D192" s="12"/>
    </row>
    <row r="193" customFormat="false" ht="15" hidden="false" customHeight="false" outlineLevel="0" collapsed="false">
      <c r="A193" s="11"/>
      <c r="D193" s="12"/>
    </row>
    <row r="194" customFormat="false" ht="15" hidden="false" customHeight="false" outlineLevel="0" collapsed="false">
      <c r="A194" s="11"/>
      <c r="D194" s="12"/>
    </row>
    <row r="195" customFormat="false" ht="15" hidden="false" customHeight="false" outlineLevel="0" collapsed="false">
      <c r="A195" s="11"/>
      <c r="D195" s="12"/>
    </row>
    <row r="196" customFormat="false" ht="15" hidden="false" customHeight="false" outlineLevel="0" collapsed="false">
      <c r="A196" s="11"/>
      <c r="D196" s="12"/>
    </row>
    <row r="197" customFormat="false" ht="15" hidden="false" customHeight="false" outlineLevel="0" collapsed="false">
      <c r="A197" s="11"/>
      <c r="D197" s="12"/>
    </row>
    <row r="198" customFormat="false" ht="15" hidden="false" customHeight="false" outlineLevel="0" collapsed="false">
      <c r="A198" s="11"/>
      <c r="D198" s="12"/>
    </row>
    <row r="199" customFormat="false" ht="15" hidden="false" customHeight="false" outlineLevel="0" collapsed="false">
      <c r="A199" s="11"/>
      <c r="D199" s="12"/>
    </row>
    <row r="200" customFormat="false" ht="15" hidden="false" customHeight="false" outlineLevel="0" collapsed="false">
      <c r="A200" s="11"/>
      <c r="D200" s="12"/>
    </row>
    <row r="201" customFormat="false" ht="15" hidden="false" customHeight="false" outlineLevel="0" collapsed="false">
      <c r="A201" s="11"/>
      <c r="D201" s="12"/>
    </row>
    <row r="202" customFormat="false" ht="15" hidden="false" customHeight="false" outlineLevel="0" collapsed="false">
      <c r="A202" s="11"/>
      <c r="D202" s="12"/>
    </row>
    <row r="203" customFormat="false" ht="15" hidden="false" customHeight="false" outlineLevel="0" collapsed="false">
      <c r="A203" s="11"/>
      <c r="D203" s="12"/>
    </row>
    <row r="204" customFormat="false" ht="15" hidden="false" customHeight="false" outlineLevel="0" collapsed="false">
      <c r="A204" s="11"/>
      <c r="D204" s="12"/>
    </row>
    <row r="205" customFormat="false" ht="15" hidden="false" customHeight="false" outlineLevel="0" collapsed="false">
      <c r="A205" s="11"/>
      <c r="D205" s="12"/>
    </row>
    <row r="206" customFormat="false" ht="15" hidden="false" customHeight="false" outlineLevel="0" collapsed="false">
      <c r="A206" s="11"/>
      <c r="D206" s="12"/>
    </row>
    <row r="207" customFormat="false" ht="15" hidden="false" customHeight="false" outlineLevel="0" collapsed="false">
      <c r="A207" s="11"/>
      <c r="D207" s="12"/>
    </row>
    <row r="208" customFormat="false" ht="15" hidden="false" customHeight="false" outlineLevel="0" collapsed="false">
      <c r="A208" s="11"/>
      <c r="D208" s="12"/>
    </row>
    <row r="209" customFormat="false" ht="15" hidden="false" customHeight="false" outlineLevel="0" collapsed="false">
      <c r="A209" s="11"/>
      <c r="D209" s="12"/>
    </row>
    <row r="210" customFormat="false" ht="15" hidden="false" customHeight="false" outlineLevel="0" collapsed="false">
      <c r="A210" s="11"/>
      <c r="D210" s="12"/>
    </row>
    <row r="211" customFormat="false" ht="15" hidden="false" customHeight="false" outlineLevel="0" collapsed="false">
      <c r="A211" s="11"/>
      <c r="D211" s="12"/>
    </row>
    <row r="212" customFormat="false" ht="15" hidden="false" customHeight="false" outlineLevel="0" collapsed="false">
      <c r="A212" s="11"/>
      <c r="D212" s="12"/>
    </row>
    <row r="213" customFormat="false" ht="15" hidden="false" customHeight="false" outlineLevel="0" collapsed="false">
      <c r="A213" s="11"/>
      <c r="D213" s="12"/>
    </row>
    <row r="214" customFormat="false" ht="15" hidden="false" customHeight="false" outlineLevel="0" collapsed="false">
      <c r="A214" s="11"/>
      <c r="D214" s="12"/>
    </row>
    <row r="215" customFormat="false" ht="15" hidden="false" customHeight="false" outlineLevel="0" collapsed="false">
      <c r="A215" s="11"/>
      <c r="D215" s="12"/>
    </row>
    <row r="216" customFormat="false" ht="15" hidden="false" customHeight="false" outlineLevel="0" collapsed="false">
      <c r="A216" s="11"/>
      <c r="D216" s="12"/>
    </row>
    <row r="217" customFormat="false" ht="15" hidden="false" customHeight="false" outlineLevel="0" collapsed="false">
      <c r="A217" s="11"/>
      <c r="D217" s="12"/>
    </row>
    <row r="218" customFormat="false" ht="15" hidden="false" customHeight="false" outlineLevel="0" collapsed="false">
      <c r="A218" s="11"/>
      <c r="D218" s="12"/>
    </row>
    <row r="219" customFormat="false" ht="15" hidden="false" customHeight="false" outlineLevel="0" collapsed="false">
      <c r="A219" s="11"/>
      <c r="D219" s="12"/>
    </row>
    <row r="220" customFormat="false" ht="15" hidden="false" customHeight="false" outlineLevel="0" collapsed="false">
      <c r="A220" s="11"/>
      <c r="D220" s="12"/>
    </row>
    <row r="221" customFormat="false" ht="15" hidden="false" customHeight="false" outlineLevel="0" collapsed="false">
      <c r="A221" s="11"/>
      <c r="D221" s="12"/>
    </row>
    <row r="222" customFormat="false" ht="15" hidden="false" customHeight="false" outlineLevel="0" collapsed="false">
      <c r="A222" s="11"/>
      <c r="D222" s="12"/>
    </row>
    <row r="223" customFormat="false" ht="15" hidden="false" customHeight="false" outlineLevel="0" collapsed="false">
      <c r="A223" s="11"/>
      <c r="D223" s="12"/>
    </row>
    <row r="224" customFormat="false" ht="15" hidden="false" customHeight="false" outlineLevel="0" collapsed="false">
      <c r="A224" s="11"/>
      <c r="D224" s="12"/>
    </row>
    <row r="225" customFormat="false" ht="15" hidden="false" customHeight="false" outlineLevel="0" collapsed="false">
      <c r="A225" s="11"/>
      <c r="D225" s="12"/>
    </row>
    <row r="226" customFormat="false" ht="15" hidden="false" customHeight="false" outlineLevel="0" collapsed="false">
      <c r="A226" s="11"/>
      <c r="D226" s="12"/>
    </row>
    <row r="227" customFormat="false" ht="15" hidden="false" customHeight="false" outlineLevel="0" collapsed="false">
      <c r="A227" s="11"/>
      <c r="D227" s="12"/>
    </row>
    <row r="228" customFormat="false" ht="15" hidden="false" customHeight="false" outlineLevel="0" collapsed="false">
      <c r="A228" s="11"/>
      <c r="D228" s="12"/>
    </row>
    <row r="229" customFormat="false" ht="15" hidden="false" customHeight="false" outlineLevel="0" collapsed="false">
      <c r="A229" s="11"/>
      <c r="D229" s="12"/>
    </row>
    <row r="230" customFormat="false" ht="15" hidden="false" customHeight="false" outlineLevel="0" collapsed="false">
      <c r="A230" s="11"/>
      <c r="D230" s="12"/>
    </row>
    <row r="231" customFormat="false" ht="15" hidden="false" customHeight="false" outlineLevel="0" collapsed="false">
      <c r="A231" s="11"/>
      <c r="D231" s="12"/>
    </row>
    <row r="232" customFormat="false" ht="15" hidden="false" customHeight="false" outlineLevel="0" collapsed="false">
      <c r="A232" s="11"/>
      <c r="D232" s="12"/>
    </row>
    <row r="233" customFormat="false" ht="15" hidden="false" customHeight="false" outlineLevel="0" collapsed="false">
      <c r="A233" s="11"/>
      <c r="D233" s="12"/>
    </row>
    <row r="234" customFormat="false" ht="15" hidden="false" customHeight="false" outlineLevel="0" collapsed="false">
      <c r="A234" s="11"/>
      <c r="D234" s="12"/>
    </row>
    <row r="235" customFormat="false" ht="15" hidden="false" customHeight="false" outlineLevel="0" collapsed="false">
      <c r="A235" s="11"/>
      <c r="D235" s="12"/>
    </row>
    <row r="236" customFormat="false" ht="15" hidden="false" customHeight="false" outlineLevel="0" collapsed="false">
      <c r="A236" s="11"/>
      <c r="D236" s="12"/>
    </row>
    <row r="237" customFormat="false" ht="15" hidden="false" customHeight="false" outlineLevel="0" collapsed="false">
      <c r="A237" s="11"/>
      <c r="D237" s="12"/>
    </row>
    <row r="238" customFormat="false" ht="15" hidden="false" customHeight="false" outlineLevel="0" collapsed="false">
      <c r="A238" s="11"/>
      <c r="D238" s="12"/>
    </row>
    <row r="239" customFormat="false" ht="15" hidden="false" customHeight="false" outlineLevel="0" collapsed="false">
      <c r="A239" s="11"/>
      <c r="D239" s="12"/>
    </row>
    <row r="240" customFormat="false" ht="15" hidden="false" customHeight="false" outlineLevel="0" collapsed="false">
      <c r="A240" s="11"/>
      <c r="D240" s="12"/>
    </row>
    <row r="241" customFormat="false" ht="15" hidden="false" customHeight="false" outlineLevel="0" collapsed="false">
      <c r="A241" s="11"/>
      <c r="D241" s="12"/>
    </row>
    <row r="242" customFormat="false" ht="15" hidden="false" customHeight="false" outlineLevel="0" collapsed="false">
      <c r="A242" s="11"/>
      <c r="D242" s="12"/>
    </row>
    <row r="243" customFormat="false" ht="15" hidden="false" customHeight="false" outlineLevel="0" collapsed="false">
      <c r="A243" s="11"/>
      <c r="D243" s="12"/>
    </row>
    <row r="244" customFormat="false" ht="15" hidden="false" customHeight="false" outlineLevel="0" collapsed="false">
      <c r="A244" s="11"/>
      <c r="D244" s="12"/>
    </row>
    <row r="245" customFormat="false" ht="15" hidden="false" customHeight="false" outlineLevel="0" collapsed="false">
      <c r="A245" s="11"/>
      <c r="D245" s="12"/>
    </row>
    <row r="246" customFormat="false" ht="15" hidden="false" customHeight="false" outlineLevel="0" collapsed="false">
      <c r="A246" s="11"/>
      <c r="D246" s="12"/>
    </row>
    <row r="247" customFormat="false" ht="15" hidden="false" customHeight="false" outlineLevel="0" collapsed="false">
      <c r="A247" s="11"/>
      <c r="D247" s="12"/>
    </row>
    <row r="248" customFormat="false" ht="15" hidden="false" customHeight="false" outlineLevel="0" collapsed="false">
      <c r="A248" s="11"/>
      <c r="D248" s="12"/>
    </row>
    <row r="249" customFormat="false" ht="15" hidden="false" customHeight="false" outlineLevel="0" collapsed="false">
      <c r="A249" s="11"/>
      <c r="D249" s="12"/>
    </row>
    <row r="250" customFormat="false" ht="15" hidden="false" customHeight="false" outlineLevel="0" collapsed="false">
      <c r="A250" s="11"/>
      <c r="D250" s="12"/>
    </row>
    <row r="251" customFormat="false" ht="15" hidden="false" customHeight="false" outlineLevel="0" collapsed="false">
      <c r="A251" s="11"/>
      <c r="D251" s="12"/>
    </row>
    <row r="252" customFormat="false" ht="15" hidden="false" customHeight="false" outlineLevel="0" collapsed="false">
      <c r="A252" s="11"/>
      <c r="D252" s="12"/>
    </row>
    <row r="253" customFormat="false" ht="15" hidden="false" customHeight="false" outlineLevel="0" collapsed="false">
      <c r="A253" s="11"/>
      <c r="D253" s="12"/>
    </row>
    <row r="254" customFormat="false" ht="15" hidden="false" customHeight="false" outlineLevel="0" collapsed="false">
      <c r="A254" s="11"/>
      <c r="D254" s="12"/>
    </row>
    <row r="255" customFormat="false" ht="15" hidden="false" customHeight="false" outlineLevel="0" collapsed="false">
      <c r="A255" s="11"/>
      <c r="D255" s="12"/>
    </row>
    <row r="256" customFormat="false" ht="15" hidden="false" customHeight="false" outlineLevel="0" collapsed="false">
      <c r="A256" s="11"/>
      <c r="D256" s="12"/>
    </row>
    <row r="257" customFormat="false" ht="15" hidden="false" customHeight="false" outlineLevel="0" collapsed="false">
      <c r="A257" s="11"/>
      <c r="D257" s="12"/>
    </row>
    <row r="258" customFormat="false" ht="15" hidden="false" customHeight="false" outlineLevel="0" collapsed="false">
      <c r="A258" s="11"/>
      <c r="D258" s="12"/>
    </row>
    <row r="259" customFormat="false" ht="15" hidden="false" customHeight="false" outlineLevel="0" collapsed="false">
      <c r="A259" s="11"/>
      <c r="D259" s="12"/>
    </row>
    <row r="260" customFormat="false" ht="15" hidden="false" customHeight="false" outlineLevel="0" collapsed="false">
      <c r="A260" s="11"/>
      <c r="D260" s="12"/>
    </row>
    <row r="261" customFormat="false" ht="15" hidden="false" customHeight="false" outlineLevel="0" collapsed="false">
      <c r="A261" s="11"/>
      <c r="D261" s="12"/>
    </row>
    <row r="262" customFormat="false" ht="15" hidden="false" customHeight="false" outlineLevel="0" collapsed="false">
      <c r="A262" s="11"/>
      <c r="D262" s="12"/>
    </row>
    <row r="263" customFormat="false" ht="15" hidden="false" customHeight="false" outlineLevel="0" collapsed="false">
      <c r="A263" s="11"/>
      <c r="D263" s="12"/>
    </row>
    <row r="264" customFormat="false" ht="15" hidden="false" customHeight="false" outlineLevel="0" collapsed="false">
      <c r="A264" s="11"/>
      <c r="D264" s="12"/>
    </row>
    <row r="265" customFormat="false" ht="15" hidden="false" customHeight="false" outlineLevel="0" collapsed="false">
      <c r="A265" s="11"/>
      <c r="D265" s="12"/>
    </row>
    <row r="266" customFormat="false" ht="15" hidden="false" customHeight="false" outlineLevel="0" collapsed="false">
      <c r="A266" s="11"/>
      <c r="D266" s="12"/>
    </row>
    <row r="267" customFormat="false" ht="15" hidden="false" customHeight="false" outlineLevel="0" collapsed="false">
      <c r="A267" s="11"/>
      <c r="D267" s="12"/>
    </row>
    <row r="268" customFormat="false" ht="15" hidden="false" customHeight="false" outlineLevel="0" collapsed="false">
      <c r="A268" s="11"/>
      <c r="D268" s="12"/>
    </row>
    <row r="269" customFormat="false" ht="15" hidden="false" customHeight="false" outlineLevel="0" collapsed="false">
      <c r="A269" s="11"/>
      <c r="D269" s="12"/>
    </row>
    <row r="270" customFormat="false" ht="15" hidden="false" customHeight="false" outlineLevel="0" collapsed="false">
      <c r="A270" s="11"/>
      <c r="D270" s="12"/>
    </row>
    <row r="271" customFormat="false" ht="15" hidden="false" customHeight="false" outlineLevel="0" collapsed="false">
      <c r="A271" s="11"/>
      <c r="D271" s="12"/>
    </row>
    <row r="272" customFormat="false" ht="15" hidden="false" customHeight="false" outlineLevel="0" collapsed="false">
      <c r="A272" s="11"/>
      <c r="D272" s="12"/>
    </row>
    <row r="273" customFormat="false" ht="15" hidden="false" customHeight="false" outlineLevel="0" collapsed="false">
      <c r="A273" s="11"/>
      <c r="D273" s="12"/>
    </row>
    <row r="274" customFormat="false" ht="15" hidden="false" customHeight="false" outlineLevel="0" collapsed="false">
      <c r="A274" s="11"/>
      <c r="D274" s="12"/>
    </row>
    <row r="275" customFormat="false" ht="15" hidden="false" customHeight="false" outlineLevel="0" collapsed="false">
      <c r="A275" s="11"/>
      <c r="D275" s="12"/>
    </row>
    <row r="276" customFormat="false" ht="15" hidden="false" customHeight="false" outlineLevel="0" collapsed="false">
      <c r="A276" s="11"/>
      <c r="D276" s="12"/>
    </row>
    <row r="277" customFormat="false" ht="15" hidden="false" customHeight="false" outlineLevel="0" collapsed="false">
      <c r="A277" s="11"/>
      <c r="D277" s="12"/>
    </row>
    <row r="278" customFormat="false" ht="15" hidden="false" customHeight="false" outlineLevel="0" collapsed="false">
      <c r="A278" s="11"/>
      <c r="D278" s="12"/>
    </row>
    <row r="279" customFormat="false" ht="15" hidden="false" customHeight="false" outlineLevel="0" collapsed="false">
      <c r="A279" s="11"/>
      <c r="D279" s="12"/>
    </row>
    <row r="280" customFormat="false" ht="15" hidden="false" customHeight="false" outlineLevel="0" collapsed="false">
      <c r="A280" s="11"/>
      <c r="D280" s="12"/>
    </row>
    <row r="281" customFormat="false" ht="15" hidden="false" customHeight="false" outlineLevel="0" collapsed="false">
      <c r="A281" s="11"/>
      <c r="D281" s="12"/>
    </row>
    <row r="282" customFormat="false" ht="15" hidden="false" customHeight="false" outlineLevel="0" collapsed="false">
      <c r="A282" s="11"/>
      <c r="D282" s="12"/>
    </row>
    <row r="283" customFormat="false" ht="15" hidden="false" customHeight="false" outlineLevel="0" collapsed="false">
      <c r="A283" s="11"/>
      <c r="D283" s="12"/>
    </row>
    <row r="284" customFormat="false" ht="15" hidden="false" customHeight="false" outlineLevel="0" collapsed="false">
      <c r="A284" s="11"/>
      <c r="D284" s="12"/>
    </row>
    <row r="285" customFormat="false" ht="15" hidden="false" customHeight="false" outlineLevel="0" collapsed="false">
      <c r="A285" s="11"/>
      <c r="D285" s="12"/>
    </row>
    <row r="286" customFormat="false" ht="15" hidden="false" customHeight="false" outlineLevel="0" collapsed="false">
      <c r="A286" s="11"/>
      <c r="D286" s="12"/>
    </row>
    <row r="287" customFormat="false" ht="15" hidden="false" customHeight="false" outlineLevel="0" collapsed="false">
      <c r="A287" s="11"/>
      <c r="D287" s="12"/>
    </row>
    <row r="288" customFormat="false" ht="15" hidden="false" customHeight="false" outlineLevel="0" collapsed="false">
      <c r="A288" s="11"/>
      <c r="D288" s="12"/>
    </row>
    <row r="289" customFormat="false" ht="15" hidden="false" customHeight="false" outlineLevel="0" collapsed="false">
      <c r="A289" s="11"/>
      <c r="D289" s="12"/>
    </row>
    <row r="290" customFormat="false" ht="15" hidden="false" customHeight="false" outlineLevel="0" collapsed="false">
      <c r="A290" s="11"/>
      <c r="D290" s="12"/>
    </row>
    <row r="291" customFormat="false" ht="15" hidden="false" customHeight="false" outlineLevel="0" collapsed="false">
      <c r="A291" s="11"/>
      <c r="D291" s="12"/>
    </row>
    <row r="292" customFormat="false" ht="15" hidden="false" customHeight="false" outlineLevel="0" collapsed="false">
      <c r="A292" s="11"/>
      <c r="D292" s="12"/>
    </row>
    <row r="293" customFormat="false" ht="15" hidden="false" customHeight="false" outlineLevel="0" collapsed="false">
      <c r="A293" s="11"/>
      <c r="D293" s="12"/>
    </row>
    <row r="294" customFormat="false" ht="15" hidden="false" customHeight="false" outlineLevel="0" collapsed="false">
      <c r="A294" s="11"/>
      <c r="D294" s="12"/>
    </row>
    <row r="295" customFormat="false" ht="15" hidden="false" customHeight="false" outlineLevel="0" collapsed="false">
      <c r="A295" s="11"/>
      <c r="D295" s="12"/>
    </row>
    <row r="296" customFormat="false" ht="15" hidden="false" customHeight="false" outlineLevel="0" collapsed="false">
      <c r="A296" s="11"/>
      <c r="D296" s="12"/>
    </row>
    <row r="297" customFormat="false" ht="15" hidden="false" customHeight="false" outlineLevel="0" collapsed="false">
      <c r="A297" s="11"/>
      <c r="D297" s="12"/>
    </row>
    <row r="298" customFormat="false" ht="15" hidden="false" customHeight="false" outlineLevel="0" collapsed="false">
      <c r="A298" s="11"/>
      <c r="D298" s="12"/>
    </row>
    <row r="299" customFormat="false" ht="15" hidden="false" customHeight="false" outlineLevel="0" collapsed="false">
      <c r="A299" s="11"/>
      <c r="D299" s="12"/>
    </row>
    <row r="300" customFormat="false" ht="15" hidden="false" customHeight="false" outlineLevel="0" collapsed="false">
      <c r="A300" s="11"/>
      <c r="D300" s="12"/>
    </row>
    <row r="301" customFormat="false" ht="15" hidden="false" customHeight="false" outlineLevel="0" collapsed="false">
      <c r="A301" s="11"/>
      <c r="D301" s="12"/>
    </row>
    <row r="302" customFormat="false" ht="15" hidden="false" customHeight="false" outlineLevel="0" collapsed="false">
      <c r="A302" s="11"/>
      <c r="D302" s="12"/>
    </row>
    <row r="303" customFormat="false" ht="15" hidden="false" customHeight="false" outlineLevel="0" collapsed="false">
      <c r="A303" s="11"/>
      <c r="D303" s="12"/>
    </row>
    <row r="304" customFormat="false" ht="15" hidden="false" customHeight="false" outlineLevel="0" collapsed="false">
      <c r="A304" s="11"/>
      <c r="D304" s="12"/>
    </row>
    <row r="305" customFormat="false" ht="15" hidden="false" customHeight="false" outlineLevel="0" collapsed="false">
      <c r="A305" s="11"/>
      <c r="D305" s="12"/>
    </row>
    <row r="306" customFormat="false" ht="15" hidden="false" customHeight="false" outlineLevel="0" collapsed="false">
      <c r="A306" s="11"/>
      <c r="D306" s="12"/>
    </row>
    <row r="307" customFormat="false" ht="15" hidden="false" customHeight="false" outlineLevel="0" collapsed="false">
      <c r="A307" s="11"/>
      <c r="D307" s="12"/>
    </row>
    <row r="308" customFormat="false" ht="15" hidden="false" customHeight="false" outlineLevel="0" collapsed="false">
      <c r="A308" s="11"/>
      <c r="D308" s="12"/>
    </row>
    <row r="309" customFormat="false" ht="15" hidden="false" customHeight="false" outlineLevel="0" collapsed="false">
      <c r="A309" s="11"/>
      <c r="D309" s="12"/>
    </row>
    <row r="310" customFormat="false" ht="15" hidden="false" customHeight="false" outlineLevel="0" collapsed="false">
      <c r="A310" s="11"/>
      <c r="D310" s="12"/>
    </row>
    <row r="311" customFormat="false" ht="15" hidden="false" customHeight="false" outlineLevel="0" collapsed="false">
      <c r="A311" s="11"/>
      <c r="D311" s="12"/>
    </row>
    <row r="312" customFormat="false" ht="15" hidden="false" customHeight="false" outlineLevel="0" collapsed="false">
      <c r="A312" s="11"/>
      <c r="D312" s="12"/>
    </row>
    <row r="313" customFormat="false" ht="15" hidden="false" customHeight="false" outlineLevel="0" collapsed="false">
      <c r="A313" s="11"/>
      <c r="D313" s="12"/>
    </row>
    <row r="314" customFormat="false" ht="15" hidden="false" customHeight="false" outlineLevel="0" collapsed="false">
      <c r="A314" s="11"/>
      <c r="D314" s="12"/>
    </row>
    <row r="315" customFormat="false" ht="15" hidden="false" customHeight="false" outlineLevel="0" collapsed="false">
      <c r="A315" s="11"/>
      <c r="D315" s="12"/>
    </row>
    <row r="316" customFormat="false" ht="15" hidden="false" customHeight="false" outlineLevel="0" collapsed="false">
      <c r="A316" s="11"/>
      <c r="D316" s="12"/>
    </row>
    <row r="317" customFormat="false" ht="15" hidden="false" customHeight="false" outlineLevel="0" collapsed="false">
      <c r="A317" s="11"/>
      <c r="D317" s="12"/>
    </row>
    <row r="318" customFormat="false" ht="15" hidden="false" customHeight="false" outlineLevel="0" collapsed="false">
      <c r="A318" s="11"/>
      <c r="D318" s="12"/>
    </row>
    <row r="319" customFormat="false" ht="15" hidden="false" customHeight="false" outlineLevel="0" collapsed="false">
      <c r="A319" s="11"/>
      <c r="D319" s="12"/>
    </row>
    <row r="320" customFormat="false" ht="15" hidden="false" customHeight="false" outlineLevel="0" collapsed="false">
      <c r="A320" s="11"/>
      <c r="D320" s="12"/>
    </row>
    <row r="321" customFormat="false" ht="15" hidden="false" customHeight="false" outlineLevel="0" collapsed="false">
      <c r="A321" s="11"/>
      <c r="D321" s="12"/>
    </row>
    <row r="322" customFormat="false" ht="15" hidden="false" customHeight="false" outlineLevel="0" collapsed="false">
      <c r="A322" s="11"/>
      <c r="D322" s="12"/>
    </row>
    <row r="323" customFormat="false" ht="15" hidden="false" customHeight="false" outlineLevel="0" collapsed="false">
      <c r="A323" s="11"/>
      <c r="D323" s="12"/>
    </row>
    <row r="324" customFormat="false" ht="15" hidden="false" customHeight="false" outlineLevel="0" collapsed="false">
      <c r="A324" s="11"/>
      <c r="D324" s="12"/>
    </row>
    <row r="325" customFormat="false" ht="15" hidden="false" customHeight="false" outlineLevel="0" collapsed="false">
      <c r="A325" s="11"/>
      <c r="D325" s="12"/>
    </row>
    <row r="326" customFormat="false" ht="15" hidden="false" customHeight="false" outlineLevel="0" collapsed="false">
      <c r="A326" s="11"/>
      <c r="D326" s="12"/>
    </row>
    <row r="327" customFormat="false" ht="15" hidden="false" customHeight="false" outlineLevel="0" collapsed="false">
      <c r="A327" s="11"/>
      <c r="D327" s="12"/>
    </row>
    <row r="328" customFormat="false" ht="15" hidden="false" customHeight="false" outlineLevel="0" collapsed="false">
      <c r="A328" s="11"/>
      <c r="D328" s="12"/>
    </row>
    <row r="329" customFormat="false" ht="15" hidden="false" customHeight="false" outlineLevel="0" collapsed="false">
      <c r="A329" s="11"/>
      <c r="D329" s="12"/>
    </row>
    <row r="330" customFormat="false" ht="15" hidden="false" customHeight="false" outlineLevel="0" collapsed="false">
      <c r="A330" s="11"/>
      <c r="D330" s="12"/>
    </row>
    <row r="331" customFormat="false" ht="15" hidden="false" customHeight="false" outlineLevel="0" collapsed="false">
      <c r="A331" s="11"/>
      <c r="D331" s="12"/>
    </row>
    <row r="332" customFormat="false" ht="15" hidden="false" customHeight="false" outlineLevel="0" collapsed="false">
      <c r="A332" s="11"/>
      <c r="D332" s="12"/>
    </row>
    <row r="333" customFormat="false" ht="15" hidden="false" customHeight="false" outlineLevel="0" collapsed="false">
      <c r="A333" s="11"/>
      <c r="D333" s="12"/>
    </row>
    <row r="334" customFormat="false" ht="15" hidden="false" customHeight="false" outlineLevel="0" collapsed="false">
      <c r="A334" s="11"/>
      <c r="D334" s="12"/>
    </row>
    <row r="335" customFormat="false" ht="15" hidden="false" customHeight="false" outlineLevel="0" collapsed="false">
      <c r="A335" s="11"/>
      <c r="D335" s="12"/>
    </row>
    <row r="336" customFormat="false" ht="15" hidden="false" customHeight="false" outlineLevel="0" collapsed="false">
      <c r="A336" s="11"/>
      <c r="D336" s="12"/>
    </row>
    <row r="337" customFormat="false" ht="15" hidden="false" customHeight="false" outlineLevel="0" collapsed="false">
      <c r="A337" s="11"/>
      <c r="D337" s="12"/>
    </row>
    <row r="338" customFormat="false" ht="15" hidden="false" customHeight="false" outlineLevel="0" collapsed="false">
      <c r="A338" s="11"/>
      <c r="D338" s="12"/>
    </row>
    <row r="339" customFormat="false" ht="15" hidden="false" customHeight="false" outlineLevel="0" collapsed="false">
      <c r="A339" s="11"/>
      <c r="D339" s="12"/>
    </row>
    <row r="340" customFormat="false" ht="15" hidden="false" customHeight="false" outlineLevel="0" collapsed="false">
      <c r="A340" s="11"/>
      <c r="D340" s="12"/>
    </row>
    <row r="341" customFormat="false" ht="15" hidden="false" customHeight="false" outlineLevel="0" collapsed="false">
      <c r="A341" s="11"/>
      <c r="D341" s="12"/>
    </row>
    <row r="342" customFormat="false" ht="15" hidden="false" customHeight="false" outlineLevel="0" collapsed="false">
      <c r="A342" s="11"/>
      <c r="D342" s="12"/>
    </row>
    <row r="343" customFormat="false" ht="15" hidden="false" customHeight="false" outlineLevel="0" collapsed="false">
      <c r="A343" s="11"/>
      <c r="D343" s="12"/>
    </row>
    <row r="344" customFormat="false" ht="15" hidden="false" customHeight="false" outlineLevel="0" collapsed="false">
      <c r="A344" s="11"/>
      <c r="D344" s="12"/>
    </row>
    <row r="345" customFormat="false" ht="15" hidden="false" customHeight="false" outlineLevel="0" collapsed="false">
      <c r="A345" s="11"/>
      <c r="D345" s="12"/>
    </row>
    <row r="346" customFormat="false" ht="15" hidden="false" customHeight="false" outlineLevel="0" collapsed="false">
      <c r="A346" s="11"/>
      <c r="D346" s="12"/>
    </row>
    <row r="347" customFormat="false" ht="15" hidden="false" customHeight="false" outlineLevel="0" collapsed="false">
      <c r="A347" s="11"/>
      <c r="D347" s="12"/>
    </row>
    <row r="348" customFormat="false" ht="15" hidden="false" customHeight="false" outlineLevel="0" collapsed="false">
      <c r="A348" s="11"/>
      <c r="D348" s="12"/>
    </row>
    <row r="349" customFormat="false" ht="15" hidden="false" customHeight="false" outlineLevel="0" collapsed="false">
      <c r="A349" s="11"/>
      <c r="D349" s="12"/>
    </row>
    <row r="350" customFormat="false" ht="15" hidden="false" customHeight="false" outlineLevel="0" collapsed="false">
      <c r="A350" s="11"/>
      <c r="D350" s="12"/>
    </row>
    <row r="351" customFormat="false" ht="15" hidden="false" customHeight="false" outlineLevel="0" collapsed="false">
      <c r="A351" s="11"/>
      <c r="D351" s="12"/>
    </row>
    <row r="352" customFormat="false" ht="15" hidden="false" customHeight="false" outlineLevel="0" collapsed="false">
      <c r="A352" s="11"/>
      <c r="D352" s="12"/>
    </row>
    <row r="353" customFormat="false" ht="15" hidden="false" customHeight="false" outlineLevel="0" collapsed="false">
      <c r="A353" s="11"/>
      <c r="D353" s="12"/>
    </row>
    <row r="354" customFormat="false" ht="15" hidden="false" customHeight="false" outlineLevel="0" collapsed="false">
      <c r="A354" s="11"/>
      <c r="D354" s="12"/>
    </row>
    <row r="355" customFormat="false" ht="15" hidden="false" customHeight="false" outlineLevel="0" collapsed="false">
      <c r="A355" s="11"/>
      <c r="D355" s="12"/>
    </row>
    <row r="356" customFormat="false" ht="15" hidden="false" customHeight="false" outlineLevel="0" collapsed="false">
      <c r="A356" s="11"/>
      <c r="D356" s="12"/>
    </row>
    <row r="357" customFormat="false" ht="15" hidden="false" customHeight="false" outlineLevel="0" collapsed="false">
      <c r="A357" s="11"/>
      <c r="D357" s="12"/>
    </row>
    <row r="358" customFormat="false" ht="15" hidden="false" customHeight="false" outlineLevel="0" collapsed="false">
      <c r="A358" s="11"/>
      <c r="D358" s="12"/>
    </row>
    <row r="359" customFormat="false" ht="15" hidden="false" customHeight="false" outlineLevel="0" collapsed="false">
      <c r="A359" s="11"/>
      <c r="D359" s="12"/>
    </row>
    <row r="360" customFormat="false" ht="15" hidden="false" customHeight="false" outlineLevel="0" collapsed="false">
      <c r="A360" s="11"/>
      <c r="D360" s="12"/>
    </row>
    <row r="361" customFormat="false" ht="15" hidden="false" customHeight="false" outlineLevel="0" collapsed="false">
      <c r="A361" s="11"/>
      <c r="D361" s="12"/>
    </row>
    <row r="362" customFormat="false" ht="15" hidden="false" customHeight="false" outlineLevel="0" collapsed="false">
      <c r="A362" s="11"/>
      <c r="D362" s="12"/>
    </row>
    <row r="363" customFormat="false" ht="15" hidden="false" customHeight="false" outlineLevel="0" collapsed="false">
      <c r="A363" s="11"/>
      <c r="D363" s="12"/>
    </row>
    <row r="364" customFormat="false" ht="15" hidden="false" customHeight="false" outlineLevel="0" collapsed="false">
      <c r="A364" s="11"/>
      <c r="D364" s="12"/>
    </row>
    <row r="365" customFormat="false" ht="15" hidden="false" customHeight="false" outlineLevel="0" collapsed="false">
      <c r="A365" s="11"/>
      <c r="D365" s="12"/>
    </row>
    <row r="366" customFormat="false" ht="15" hidden="false" customHeight="false" outlineLevel="0" collapsed="false">
      <c r="A366" s="11"/>
      <c r="D366" s="12"/>
    </row>
    <row r="367" customFormat="false" ht="15" hidden="false" customHeight="false" outlineLevel="0" collapsed="false">
      <c r="A367" s="11"/>
      <c r="D367" s="12"/>
    </row>
    <row r="368" customFormat="false" ht="15" hidden="false" customHeight="false" outlineLevel="0" collapsed="false">
      <c r="A368" s="11"/>
      <c r="D368" s="12"/>
    </row>
    <row r="369" customFormat="false" ht="15" hidden="false" customHeight="false" outlineLevel="0" collapsed="false">
      <c r="A369" s="11"/>
      <c r="D369" s="12"/>
    </row>
    <row r="370" customFormat="false" ht="15" hidden="false" customHeight="false" outlineLevel="0" collapsed="false">
      <c r="A370" s="11"/>
      <c r="D370" s="12"/>
    </row>
    <row r="371" customFormat="false" ht="15" hidden="false" customHeight="false" outlineLevel="0" collapsed="false">
      <c r="A371" s="11"/>
      <c r="D371" s="12"/>
    </row>
    <row r="372" customFormat="false" ht="15" hidden="false" customHeight="false" outlineLevel="0" collapsed="false">
      <c r="A372" s="11"/>
      <c r="D372" s="12"/>
    </row>
    <row r="373" customFormat="false" ht="15" hidden="false" customHeight="false" outlineLevel="0" collapsed="false">
      <c r="A373" s="11"/>
      <c r="D373" s="12"/>
    </row>
    <row r="374" customFormat="false" ht="15" hidden="false" customHeight="false" outlineLevel="0" collapsed="false">
      <c r="A374" s="11"/>
      <c r="D374" s="12"/>
    </row>
    <row r="375" customFormat="false" ht="15" hidden="false" customHeight="false" outlineLevel="0" collapsed="false">
      <c r="A375" s="11"/>
      <c r="D375" s="12"/>
    </row>
    <row r="376" customFormat="false" ht="15" hidden="false" customHeight="false" outlineLevel="0" collapsed="false">
      <c r="A376" s="11"/>
      <c r="D376" s="12"/>
    </row>
    <row r="377" customFormat="false" ht="15" hidden="false" customHeight="false" outlineLevel="0" collapsed="false">
      <c r="A377" s="11"/>
      <c r="D377" s="12"/>
    </row>
    <row r="378" customFormat="false" ht="15" hidden="false" customHeight="false" outlineLevel="0" collapsed="false">
      <c r="A378" s="11"/>
      <c r="D378" s="12"/>
    </row>
    <row r="379" customFormat="false" ht="15" hidden="false" customHeight="false" outlineLevel="0" collapsed="false">
      <c r="A379" s="11"/>
      <c r="D379" s="12"/>
    </row>
    <row r="380" customFormat="false" ht="15" hidden="false" customHeight="false" outlineLevel="0" collapsed="false">
      <c r="A380" s="11"/>
      <c r="D380" s="12"/>
    </row>
    <row r="381" customFormat="false" ht="15" hidden="false" customHeight="false" outlineLevel="0" collapsed="false">
      <c r="A381" s="11"/>
      <c r="D381" s="12"/>
    </row>
    <row r="382" customFormat="false" ht="15" hidden="false" customHeight="false" outlineLevel="0" collapsed="false">
      <c r="A382" s="11"/>
      <c r="D382" s="12"/>
    </row>
    <row r="383" customFormat="false" ht="15" hidden="false" customHeight="false" outlineLevel="0" collapsed="false">
      <c r="A383" s="11"/>
      <c r="D383" s="12"/>
    </row>
    <row r="384" customFormat="false" ht="15" hidden="false" customHeight="false" outlineLevel="0" collapsed="false">
      <c r="A384" s="11"/>
      <c r="D384" s="12"/>
    </row>
    <row r="385" customFormat="false" ht="15" hidden="false" customHeight="false" outlineLevel="0" collapsed="false">
      <c r="A385" s="11"/>
      <c r="D385" s="12"/>
    </row>
    <row r="386" customFormat="false" ht="15" hidden="false" customHeight="false" outlineLevel="0" collapsed="false">
      <c r="A386" s="11"/>
      <c r="D386" s="12"/>
    </row>
    <row r="387" customFormat="false" ht="15" hidden="false" customHeight="false" outlineLevel="0" collapsed="false">
      <c r="A387" s="11"/>
      <c r="D387" s="12"/>
    </row>
    <row r="388" customFormat="false" ht="15" hidden="false" customHeight="false" outlineLevel="0" collapsed="false">
      <c r="A388" s="11"/>
      <c r="D388" s="12"/>
    </row>
    <row r="389" customFormat="false" ht="15" hidden="false" customHeight="false" outlineLevel="0" collapsed="false">
      <c r="A389" s="11"/>
      <c r="D389" s="12"/>
    </row>
    <row r="390" customFormat="false" ht="15" hidden="false" customHeight="false" outlineLevel="0" collapsed="false">
      <c r="A390" s="11"/>
      <c r="D390" s="12"/>
    </row>
    <row r="391" customFormat="false" ht="15" hidden="false" customHeight="false" outlineLevel="0" collapsed="false">
      <c r="A391" s="11"/>
      <c r="D391" s="12"/>
    </row>
    <row r="392" customFormat="false" ht="15" hidden="false" customHeight="false" outlineLevel="0" collapsed="false">
      <c r="A392" s="11"/>
      <c r="D392" s="12"/>
    </row>
    <row r="393" customFormat="false" ht="15" hidden="false" customHeight="false" outlineLevel="0" collapsed="false">
      <c r="A393" s="11"/>
      <c r="D393" s="12"/>
    </row>
    <row r="394" customFormat="false" ht="15" hidden="false" customHeight="false" outlineLevel="0" collapsed="false">
      <c r="A394" s="11"/>
      <c r="D394" s="12"/>
    </row>
    <row r="395" customFormat="false" ht="15" hidden="false" customHeight="false" outlineLevel="0" collapsed="false">
      <c r="A395" s="11"/>
      <c r="D395" s="12"/>
    </row>
    <row r="396" customFormat="false" ht="15" hidden="false" customHeight="false" outlineLevel="0" collapsed="false">
      <c r="A396" s="11"/>
      <c r="D396" s="12"/>
    </row>
    <row r="397" customFormat="false" ht="15" hidden="false" customHeight="false" outlineLevel="0" collapsed="false">
      <c r="A397" s="11"/>
      <c r="D397" s="12"/>
    </row>
    <row r="398" customFormat="false" ht="15" hidden="false" customHeight="false" outlineLevel="0" collapsed="false">
      <c r="A398" s="11"/>
      <c r="D398" s="12"/>
    </row>
    <row r="399" customFormat="false" ht="15" hidden="false" customHeight="false" outlineLevel="0" collapsed="false">
      <c r="A399" s="11"/>
      <c r="D399" s="12"/>
    </row>
    <row r="400" customFormat="false" ht="15" hidden="false" customHeight="false" outlineLevel="0" collapsed="false">
      <c r="A400" s="11"/>
      <c r="D400" s="12"/>
    </row>
    <row r="401" customFormat="false" ht="15" hidden="false" customHeight="false" outlineLevel="0" collapsed="false">
      <c r="A401" s="11"/>
      <c r="D401" s="12"/>
    </row>
    <row r="402" customFormat="false" ht="15" hidden="false" customHeight="false" outlineLevel="0" collapsed="false">
      <c r="A402" s="11"/>
      <c r="D402" s="12"/>
    </row>
    <row r="403" customFormat="false" ht="15" hidden="false" customHeight="false" outlineLevel="0" collapsed="false">
      <c r="A403" s="11"/>
      <c r="D403" s="12"/>
    </row>
    <row r="404" customFormat="false" ht="15" hidden="false" customHeight="false" outlineLevel="0" collapsed="false">
      <c r="A404" s="11"/>
      <c r="D404" s="12"/>
    </row>
    <row r="405" customFormat="false" ht="15" hidden="false" customHeight="false" outlineLevel="0" collapsed="false">
      <c r="A405" s="11"/>
      <c r="D405" s="12"/>
    </row>
    <row r="406" customFormat="false" ht="15" hidden="false" customHeight="false" outlineLevel="0" collapsed="false">
      <c r="A406" s="11"/>
      <c r="D406" s="12"/>
    </row>
    <row r="407" customFormat="false" ht="15" hidden="false" customHeight="false" outlineLevel="0" collapsed="false">
      <c r="A407" s="11"/>
      <c r="D407" s="12"/>
    </row>
    <row r="408" customFormat="false" ht="15" hidden="false" customHeight="false" outlineLevel="0" collapsed="false">
      <c r="A408" s="11"/>
      <c r="D408" s="12"/>
    </row>
    <row r="409" customFormat="false" ht="15" hidden="false" customHeight="false" outlineLevel="0" collapsed="false">
      <c r="A409" s="11"/>
      <c r="D409" s="12"/>
    </row>
    <row r="410" customFormat="false" ht="15" hidden="false" customHeight="false" outlineLevel="0" collapsed="false">
      <c r="A410" s="11"/>
      <c r="D410" s="12"/>
    </row>
    <row r="411" customFormat="false" ht="15" hidden="false" customHeight="false" outlineLevel="0" collapsed="false">
      <c r="A411" s="11"/>
      <c r="D411" s="12"/>
    </row>
    <row r="412" customFormat="false" ht="15" hidden="false" customHeight="false" outlineLevel="0" collapsed="false">
      <c r="A412" s="11"/>
      <c r="D412" s="12"/>
    </row>
    <row r="413" customFormat="false" ht="15" hidden="false" customHeight="false" outlineLevel="0" collapsed="false">
      <c r="A413" s="11"/>
      <c r="D413" s="12"/>
    </row>
    <row r="414" customFormat="false" ht="15" hidden="false" customHeight="false" outlineLevel="0" collapsed="false">
      <c r="A414" s="11"/>
      <c r="D414" s="12"/>
    </row>
    <row r="415" customFormat="false" ht="15" hidden="false" customHeight="false" outlineLevel="0" collapsed="false">
      <c r="A415" s="11"/>
      <c r="D415" s="12"/>
    </row>
    <row r="416" customFormat="false" ht="15" hidden="false" customHeight="false" outlineLevel="0" collapsed="false">
      <c r="A416" s="11"/>
      <c r="D416" s="12"/>
    </row>
    <row r="417" customFormat="false" ht="15" hidden="false" customHeight="false" outlineLevel="0" collapsed="false">
      <c r="A417" s="11"/>
      <c r="D417" s="12"/>
    </row>
    <row r="418" customFormat="false" ht="15" hidden="false" customHeight="false" outlineLevel="0" collapsed="false">
      <c r="A418" s="11"/>
      <c r="D418" s="12"/>
    </row>
    <row r="419" customFormat="false" ht="15" hidden="false" customHeight="false" outlineLevel="0" collapsed="false">
      <c r="A419" s="11"/>
      <c r="D419" s="12"/>
    </row>
    <row r="420" customFormat="false" ht="15" hidden="false" customHeight="false" outlineLevel="0" collapsed="false">
      <c r="A420" s="11"/>
      <c r="D420" s="12"/>
    </row>
    <row r="421" customFormat="false" ht="15" hidden="false" customHeight="false" outlineLevel="0" collapsed="false">
      <c r="A421" s="11"/>
      <c r="D421" s="12"/>
    </row>
    <row r="422" customFormat="false" ht="15" hidden="false" customHeight="false" outlineLevel="0" collapsed="false">
      <c r="A422" s="11"/>
      <c r="D422" s="12"/>
    </row>
    <row r="423" customFormat="false" ht="15" hidden="false" customHeight="false" outlineLevel="0" collapsed="false">
      <c r="A423" s="11"/>
      <c r="D423" s="12"/>
    </row>
    <row r="424" customFormat="false" ht="15" hidden="false" customHeight="false" outlineLevel="0" collapsed="false">
      <c r="A424" s="11"/>
      <c r="D424" s="12"/>
    </row>
    <row r="425" customFormat="false" ht="15" hidden="false" customHeight="false" outlineLevel="0" collapsed="false">
      <c r="A425" s="11"/>
      <c r="D425" s="12"/>
    </row>
    <row r="426" customFormat="false" ht="15" hidden="false" customHeight="false" outlineLevel="0" collapsed="false">
      <c r="A426" s="11"/>
      <c r="D426" s="12"/>
    </row>
    <row r="427" customFormat="false" ht="15" hidden="false" customHeight="false" outlineLevel="0" collapsed="false">
      <c r="A427" s="11"/>
      <c r="D427" s="12"/>
    </row>
    <row r="428" customFormat="false" ht="15" hidden="false" customHeight="false" outlineLevel="0" collapsed="false">
      <c r="A428" s="11"/>
      <c r="D428" s="12"/>
    </row>
    <row r="429" customFormat="false" ht="15" hidden="false" customHeight="false" outlineLevel="0" collapsed="false">
      <c r="A429" s="11"/>
      <c r="D429" s="12"/>
    </row>
    <row r="430" customFormat="false" ht="15" hidden="false" customHeight="false" outlineLevel="0" collapsed="false">
      <c r="A430" s="11"/>
      <c r="D430" s="12"/>
    </row>
    <row r="431" customFormat="false" ht="15" hidden="false" customHeight="false" outlineLevel="0" collapsed="false">
      <c r="A431" s="11"/>
      <c r="D431" s="12"/>
    </row>
    <row r="432" customFormat="false" ht="15" hidden="false" customHeight="false" outlineLevel="0" collapsed="false">
      <c r="A432" s="11"/>
      <c r="D432" s="12"/>
    </row>
    <row r="433" customFormat="false" ht="15" hidden="false" customHeight="false" outlineLevel="0" collapsed="false">
      <c r="A433" s="11"/>
      <c r="D433" s="12"/>
    </row>
    <row r="434" customFormat="false" ht="15" hidden="false" customHeight="false" outlineLevel="0" collapsed="false">
      <c r="A434" s="11"/>
      <c r="D434" s="12"/>
    </row>
    <row r="435" customFormat="false" ht="15" hidden="false" customHeight="false" outlineLevel="0" collapsed="false">
      <c r="A435" s="11"/>
      <c r="D435" s="12"/>
    </row>
    <row r="436" customFormat="false" ht="15" hidden="false" customHeight="false" outlineLevel="0" collapsed="false">
      <c r="A436" s="11"/>
      <c r="D436" s="12"/>
    </row>
    <row r="437" customFormat="false" ht="15" hidden="false" customHeight="false" outlineLevel="0" collapsed="false">
      <c r="A437" s="11"/>
      <c r="D437" s="12"/>
    </row>
    <row r="438" customFormat="false" ht="15" hidden="false" customHeight="false" outlineLevel="0" collapsed="false">
      <c r="A438" s="11"/>
      <c r="D438" s="12"/>
    </row>
    <row r="439" customFormat="false" ht="15" hidden="false" customHeight="false" outlineLevel="0" collapsed="false">
      <c r="A439" s="11"/>
      <c r="D439" s="12"/>
    </row>
    <row r="440" customFormat="false" ht="15" hidden="false" customHeight="false" outlineLevel="0" collapsed="false">
      <c r="A440" s="11"/>
      <c r="D440" s="12"/>
    </row>
    <row r="441" customFormat="false" ht="15" hidden="false" customHeight="false" outlineLevel="0" collapsed="false">
      <c r="A441" s="11"/>
      <c r="D441" s="12"/>
    </row>
    <row r="442" customFormat="false" ht="15" hidden="false" customHeight="false" outlineLevel="0" collapsed="false">
      <c r="A442" s="11"/>
      <c r="D442" s="12"/>
    </row>
    <row r="443" customFormat="false" ht="15" hidden="false" customHeight="false" outlineLevel="0" collapsed="false">
      <c r="A443" s="11"/>
      <c r="D443" s="12"/>
    </row>
    <row r="444" customFormat="false" ht="15" hidden="false" customHeight="false" outlineLevel="0" collapsed="false">
      <c r="A444" s="11"/>
      <c r="D444" s="12"/>
    </row>
    <row r="445" customFormat="false" ht="15" hidden="false" customHeight="false" outlineLevel="0" collapsed="false">
      <c r="A445" s="11"/>
      <c r="D445" s="12"/>
    </row>
    <row r="446" customFormat="false" ht="15" hidden="false" customHeight="false" outlineLevel="0" collapsed="false">
      <c r="A446" s="11"/>
      <c r="D446" s="12"/>
    </row>
    <row r="447" customFormat="false" ht="15" hidden="false" customHeight="false" outlineLevel="0" collapsed="false">
      <c r="A447" s="11"/>
      <c r="D447" s="12"/>
    </row>
    <row r="448" customFormat="false" ht="15" hidden="false" customHeight="false" outlineLevel="0" collapsed="false">
      <c r="A448" s="11"/>
      <c r="D448" s="12"/>
    </row>
    <row r="449" customFormat="false" ht="15" hidden="false" customHeight="false" outlineLevel="0" collapsed="false">
      <c r="A449" s="11"/>
      <c r="D449" s="12"/>
    </row>
    <row r="450" customFormat="false" ht="15" hidden="false" customHeight="false" outlineLevel="0" collapsed="false">
      <c r="A450" s="11"/>
      <c r="D450" s="12"/>
    </row>
    <row r="451" customFormat="false" ht="15" hidden="false" customHeight="false" outlineLevel="0" collapsed="false">
      <c r="A451" s="11"/>
      <c r="D451" s="12"/>
    </row>
    <row r="452" customFormat="false" ht="15" hidden="false" customHeight="false" outlineLevel="0" collapsed="false">
      <c r="A452" s="11"/>
      <c r="D452" s="12"/>
    </row>
    <row r="453" customFormat="false" ht="15" hidden="false" customHeight="false" outlineLevel="0" collapsed="false">
      <c r="A453" s="11"/>
      <c r="D453" s="12"/>
    </row>
    <row r="454" customFormat="false" ht="15" hidden="false" customHeight="false" outlineLevel="0" collapsed="false">
      <c r="A454" s="11"/>
      <c r="D454" s="12"/>
    </row>
    <row r="455" customFormat="false" ht="15" hidden="false" customHeight="false" outlineLevel="0" collapsed="false">
      <c r="A455" s="11"/>
      <c r="D455" s="12"/>
    </row>
    <row r="456" customFormat="false" ht="15" hidden="false" customHeight="false" outlineLevel="0" collapsed="false">
      <c r="A456" s="11"/>
      <c r="D456" s="12"/>
    </row>
    <row r="457" customFormat="false" ht="15" hidden="false" customHeight="false" outlineLevel="0" collapsed="false">
      <c r="A457" s="11"/>
      <c r="D457" s="12"/>
    </row>
    <row r="458" customFormat="false" ht="15" hidden="false" customHeight="false" outlineLevel="0" collapsed="false">
      <c r="A458" s="11"/>
      <c r="D458" s="12"/>
    </row>
    <row r="459" customFormat="false" ht="15" hidden="false" customHeight="false" outlineLevel="0" collapsed="false">
      <c r="A459" s="11"/>
      <c r="D459" s="12"/>
    </row>
    <row r="460" customFormat="false" ht="15" hidden="false" customHeight="false" outlineLevel="0" collapsed="false">
      <c r="A460" s="11"/>
      <c r="D460" s="12"/>
    </row>
    <row r="461" customFormat="false" ht="15" hidden="false" customHeight="false" outlineLevel="0" collapsed="false">
      <c r="A461" s="11"/>
      <c r="D461" s="12"/>
    </row>
    <row r="462" customFormat="false" ht="15" hidden="false" customHeight="false" outlineLevel="0" collapsed="false">
      <c r="A462" s="11"/>
      <c r="D462" s="12"/>
    </row>
    <row r="463" customFormat="false" ht="15" hidden="false" customHeight="false" outlineLevel="0" collapsed="false">
      <c r="A463" s="11"/>
      <c r="D463" s="12"/>
    </row>
    <row r="464" customFormat="false" ht="15" hidden="false" customHeight="false" outlineLevel="0" collapsed="false">
      <c r="A464" s="11"/>
      <c r="D464" s="12"/>
    </row>
    <row r="465" customFormat="false" ht="15" hidden="false" customHeight="false" outlineLevel="0" collapsed="false">
      <c r="A465" s="11"/>
      <c r="D465" s="12"/>
    </row>
    <row r="466" customFormat="false" ht="15" hidden="false" customHeight="false" outlineLevel="0" collapsed="false">
      <c r="A466" s="11"/>
      <c r="D466" s="12"/>
    </row>
    <row r="467" customFormat="false" ht="15" hidden="false" customHeight="false" outlineLevel="0" collapsed="false">
      <c r="A467" s="11"/>
      <c r="D467" s="12"/>
    </row>
    <row r="468" customFormat="false" ht="15" hidden="false" customHeight="false" outlineLevel="0" collapsed="false">
      <c r="A468" s="11"/>
      <c r="D468" s="12"/>
    </row>
    <row r="469" customFormat="false" ht="15" hidden="false" customHeight="false" outlineLevel="0" collapsed="false">
      <c r="A469" s="11"/>
      <c r="D469" s="12"/>
    </row>
    <row r="470" customFormat="false" ht="15" hidden="false" customHeight="false" outlineLevel="0" collapsed="false">
      <c r="A470" s="11"/>
      <c r="D470" s="12"/>
    </row>
    <row r="471" customFormat="false" ht="15" hidden="false" customHeight="false" outlineLevel="0" collapsed="false">
      <c r="A471" s="11"/>
      <c r="D471" s="12"/>
    </row>
    <row r="472" customFormat="false" ht="15" hidden="false" customHeight="false" outlineLevel="0" collapsed="false">
      <c r="A472" s="11"/>
      <c r="D472" s="12"/>
    </row>
    <row r="473" customFormat="false" ht="15" hidden="false" customHeight="false" outlineLevel="0" collapsed="false">
      <c r="A473" s="11"/>
      <c r="D473" s="12"/>
    </row>
    <row r="474" customFormat="false" ht="15" hidden="false" customHeight="false" outlineLevel="0" collapsed="false">
      <c r="A474" s="11"/>
      <c r="D474" s="12"/>
    </row>
    <row r="475" customFormat="false" ht="15" hidden="false" customHeight="false" outlineLevel="0" collapsed="false">
      <c r="A475" s="11"/>
      <c r="D475" s="12"/>
    </row>
    <row r="476" customFormat="false" ht="15" hidden="false" customHeight="false" outlineLevel="0" collapsed="false">
      <c r="A476" s="11"/>
      <c r="D476" s="12"/>
    </row>
    <row r="477" customFormat="false" ht="15" hidden="false" customHeight="false" outlineLevel="0" collapsed="false">
      <c r="A477" s="11"/>
      <c r="D477" s="12"/>
    </row>
    <row r="478" customFormat="false" ht="15" hidden="false" customHeight="false" outlineLevel="0" collapsed="false">
      <c r="A478" s="11"/>
      <c r="D478" s="12"/>
    </row>
    <row r="479" customFormat="false" ht="15" hidden="false" customHeight="false" outlineLevel="0" collapsed="false">
      <c r="A479" s="11"/>
      <c r="D479" s="12"/>
    </row>
    <row r="480" customFormat="false" ht="15" hidden="false" customHeight="false" outlineLevel="0" collapsed="false">
      <c r="A480" s="11"/>
      <c r="D480" s="12"/>
    </row>
    <row r="481" customFormat="false" ht="15" hidden="false" customHeight="false" outlineLevel="0" collapsed="false">
      <c r="A481" s="11"/>
      <c r="D481" s="12"/>
    </row>
    <row r="482" customFormat="false" ht="15" hidden="false" customHeight="false" outlineLevel="0" collapsed="false">
      <c r="A482" s="11"/>
      <c r="D482" s="12"/>
    </row>
    <row r="483" customFormat="false" ht="15" hidden="false" customHeight="false" outlineLevel="0" collapsed="false">
      <c r="A483" s="11"/>
      <c r="D483" s="12"/>
    </row>
    <row r="484" customFormat="false" ht="15" hidden="false" customHeight="false" outlineLevel="0" collapsed="false">
      <c r="A484" s="11"/>
      <c r="D484" s="12"/>
    </row>
    <row r="485" customFormat="false" ht="15" hidden="false" customHeight="false" outlineLevel="0" collapsed="false">
      <c r="A485" s="11"/>
      <c r="D485" s="12"/>
    </row>
    <row r="486" customFormat="false" ht="15" hidden="false" customHeight="false" outlineLevel="0" collapsed="false">
      <c r="A486" s="11"/>
      <c r="D486" s="12"/>
    </row>
    <row r="487" customFormat="false" ht="15" hidden="false" customHeight="false" outlineLevel="0" collapsed="false">
      <c r="A487" s="11"/>
      <c r="D487" s="12"/>
    </row>
    <row r="488" customFormat="false" ht="15" hidden="false" customHeight="false" outlineLevel="0" collapsed="false">
      <c r="A488" s="11"/>
      <c r="D488" s="12"/>
    </row>
    <row r="489" customFormat="false" ht="15" hidden="false" customHeight="false" outlineLevel="0" collapsed="false">
      <c r="A489" s="11"/>
      <c r="D489" s="12"/>
    </row>
    <row r="490" customFormat="false" ht="15" hidden="false" customHeight="false" outlineLevel="0" collapsed="false">
      <c r="A490" s="11"/>
      <c r="D490" s="12"/>
    </row>
    <row r="491" customFormat="false" ht="15" hidden="false" customHeight="false" outlineLevel="0" collapsed="false">
      <c r="A491" s="11"/>
      <c r="D491" s="12"/>
    </row>
    <row r="492" customFormat="false" ht="15" hidden="false" customHeight="false" outlineLevel="0" collapsed="false">
      <c r="A492" s="11"/>
      <c r="D492" s="12"/>
    </row>
    <row r="493" customFormat="false" ht="15" hidden="false" customHeight="false" outlineLevel="0" collapsed="false">
      <c r="A493" s="11"/>
      <c r="D493" s="12"/>
    </row>
    <row r="494" customFormat="false" ht="15" hidden="false" customHeight="false" outlineLevel="0" collapsed="false">
      <c r="A494" s="11"/>
      <c r="D494" s="12"/>
    </row>
    <row r="495" customFormat="false" ht="15" hidden="false" customHeight="false" outlineLevel="0" collapsed="false">
      <c r="A495" s="11"/>
      <c r="D495" s="12"/>
    </row>
    <row r="496" customFormat="false" ht="15" hidden="false" customHeight="false" outlineLevel="0" collapsed="false">
      <c r="A496" s="11"/>
      <c r="D496" s="12"/>
    </row>
    <row r="497" customFormat="false" ht="15" hidden="false" customHeight="false" outlineLevel="0" collapsed="false">
      <c r="A497" s="11"/>
      <c r="D497" s="12"/>
    </row>
    <row r="498" customFormat="false" ht="15" hidden="false" customHeight="false" outlineLevel="0" collapsed="false">
      <c r="A498" s="11"/>
      <c r="D498" s="12"/>
    </row>
    <row r="499" customFormat="false" ht="15" hidden="false" customHeight="false" outlineLevel="0" collapsed="false">
      <c r="A499" s="11"/>
      <c r="D499" s="12"/>
    </row>
    <row r="500" customFormat="false" ht="15" hidden="false" customHeight="false" outlineLevel="0" collapsed="false">
      <c r="A500" s="11"/>
      <c r="D500" s="12"/>
    </row>
    <row r="501" customFormat="false" ht="15" hidden="false" customHeight="false" outlineLevel="0" collapsed="false">
      <c r="A501" s="11"/>
      <c r="D501" s="12"/>
    </row>
  </sheetData>
  <dataValidations count="4">
    <dataValidation allowBlank="true" errorStyle="stop" operator="between" showDropDown="false" showErrorMessage="false" showInputMessage="false" sqref="B2:B501" type="list">
      <formula1>"San Donato,Cantù,Giussano"</formula1>
      <formula2>0</formula2>
    </dataValidation>
    <dataValidation allowBlank="true" errorStyle="stop" operator="between" showDropDown="false" showErrorMessage="false" showInputMessage="false" sqref="C2:C501" type="list">
      <formula1>"Prima visita,Seduta successiva"</formula1>
      <formula2>0</formula2>
    </dataValidation>
    <dataValidation allowBlank="true" errorStyle="stop" operator="between" showDropDown="false" showErrorMessage="false" showInputMessage="false" sqref="E2:E501" type="list">
      <formula1>"Nuovo,Ritorno"</formula1>
      <formula2>0</formula2>
    </dataValidation>
    <dataValidation allowBlank="true" errorStyle="stop" operator="between" showDropDown="false" showErrorMessage="false" showInputMessage="false" sqref="F2:F501" type="list">
      <formula1>"Google (ricerca),Google Maps/GBP,Passaparola,Biglietto/QR,Recensione lasciata,Social,Farmacia,Sito web diretto,Altro/Non specificato"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16"/>
  </cols>
  <sheetData>
    <row r="1" customFormat="false" ht="15" hidden="false" customHeight="false" outlineLevel="0" collapsed="false">
      <c r="A1" s="4" t="s">
        <v>28</v>
      </c>
      <c r="B1" s="4" t="s">
        <v>29</v>
      </c>
      <c r="C1" s="4" t="s">
        <v>30</v>
      </c>
    </row>
    <row r="2" customFormat="false" ht="15" hidden="false" customHeight="false" outlineLevel="0" collapsed="false">
      <c r="A2" s="6" t="s">
        <v>31</v>
      </c>
      <c r="B2" s="7" t="n">
        <f aca="false">COUNTIFS(Pazienti!$F$2:$F$501,A2,Pazienti!$E$2:$E$501,"Nuovo")</f>
        <v>0</v>
      </c>
      <c r="C2" s="13" t="n">
        <f aca="false">IFERROR(B2/SUM($B$2:$B$10),0)</f>
        <v>0</v>
      </c>
    </row>
    <row r="3" customFormat="false" ht="15" hidden="false" customHeight="false" outlineLevel="0" collapsed="false">
      <c r="A3" s="6" t="s">
        <v>32</v>
      </c>
      <c r="B3" s="7" t="n">
        <f aca="false">COUNTIFS(Pazienti!$F$2:$F$501,A3,Pazienti!$E$2:$E$501,"Nuovo")</f>
        <v>0</v>
      </c>
      <c r="C3" s="13" t="n">
        <f aca="false">IFERROR(B3/SUM($B$2:$B$10),0)</f>
        <v>0</v>
      </c>
    </row>
    <row r="4" customFormat="false" ht="15" hidden="false" customHeight="false" outlineLevel="0" collapsed="false">
      <c r="A4" s="6" t="s">
        <v>33</v>
      </c>
      <c r="B4" s="7" t="n">
        <f aca="false">COUNTIFS(Pazienti!$F$2:$F$501,A4,Pazienti!$E$2:$E$501,"Nuovo")</f>
        <v>0</v>
      </c>
      <c r="C4" s="13" t="n">
        <f aca="false">IFERROR(B4/SUM($B$2:$B$10),0)</f>
        <v>0</v>
      </c>
    </row>
    <row r="5" customFormat="false" ht="15" hidden="false" customHeight="false" outlineLevel="0" collapsed="false">
      <c r="A5" s="6" t="s">
        <v>34</v>
      </c>
      <c r="B5" s="7" t="n">
        <f aca="false">COUNTIFS(Pazienti!$F$2:$F$501,A5,Pazienti!$E$2:$E$501,"Nuovo")</f>
        <v>0</v>
      </c>
      <c r="C5" s="13" t="n">
        <f aca="false">IFERROR(B5/SUM($B$2:$B$10),0)</f>
        <v>0</v>
      </c>
    </row>
    <row r="6" customFormat="false" ht="15" hidden="false" customHeight="false" outlineLevel="0" collapsed="false">
      <c r="A6" s="6" t="s">
        <v>35</v>
      </c>
      <c r="B6" s="7" t="n">
        <f aca="false">COUNTIFS(Pazienti!$F$2:$F$501,A6,Pazienti!$E$2:$E$501,"Nuovo")</f>
        <v>0</v>
      </c>
      <c r="C6" s="13" t="n">
        <f aca="false">IFERROR(B6/SUM($B$2:$B$10),0)</f>
        <v>0</v>
      </c>
    </row>
    <row r="7" customFormat="false" ht="15" hidden="false" customHeight="false" outlineLevel="0" collapsed="false">
      <c r="A7" s="6" t="s">
        <v>36</v>
      </c>
      <c r="B7" s="7" t="n">
        <f aca="false">COUNTIFS(Pazienti!$F$2:$F$501,A7,Pazienti!$E$2:$E$501,"Nuovo")</f>
        <v>0</v>
      </c>
      <c r="C7" s="13" t="n">
        <f aca="false">IFERROR(B7/SUM($B$2:$B$10),0)</f>
        <v>0</v>
      </c>
    </row>
    <row r="8" customFormat="false" ht="15" hidden="false" customHeight="false" outlineLevel="0" collapsed="false">
      <c r="A8" s="6" t="s">
        <v>37</v>
      </c>
      <c r="B8" s="7" t="n">
        <f aca="false">COUNTIFS(Pazienti!$F$2:$F$501,A8,Pazienti!$E$2:$E$501,"Nuovo")</f>
        <v>0</v>
      </c>
      <c r="C8" s="13" t="n">
        <f aca="false">IFERROR(B8/SUM($B$2:$B$10),0)</f>
        <v>0</v>
      </c>
    </row>
    <row r="9" customFormat="false" ht="15" hidden="false" customHeight="false" outlineLevel="0" collapsed="false">
      <c r="A9" s="6" t="s">
        <v>38</v>
      </c>
      <c r="B9" s="7" t="n">
        <f aca="false">COUNTIFS(Pazienti!$F$2:$F$501,A9,Pazienti!$E$2:$E$501,"Nuovo")</f>
        <v>0</v>
      </c>
      <c r="C9" s="13" t="n">
        <f aca="false">IFERROR(B9/SUM($B$2:$B$10),0)</f>
        <v>0</v>
      </c>
    </row>
    <row r="10" customFormat="false" ht="15" hidden="false" customHeight="false" outlineLevel="0" collapsed="false">
      <c r="A10" s="6" t="s">
        <v>39</v>
      </c>
      <c r="B10" s="7" t="n">
        <f aca="false">COUNTIFS(Pazienti!$F$2:$F$501,A10,Pazienti!$E$2:$E$501,"Nuovo")</f>
        <v>0</v>
      </c>
      <c r="C10" s="13" t="n">
        <f aca="false">IFERROR(B10/SUM($B$2:$B$10),0)</f>
        <v>0</v>
      </c>
    </row>
    <row r="12" customFormat="false" ht="15" hidden="false" customHeight="false" outlineLevel="0" collapsed="false">
      <c r="A12" s="2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12"/>
  </cols>
  <sheetData>
    <row r="1" customFormat="false" ht="17.35" hidden="false" customHeight="false" outlineLevel="0" collapsed="false">
      <c r="A1" s="1" t="s">
        <v>41</v>
      </c>
    </row>
    <row r="3" customFormat="false" ht="15" hidden="false" customHeight="false" outlineLevel="0" collapsed="false">
      <c r="A3" s="10" t="s">
        <v>42</v>
      </c>
      <c r="B3" s="10" t="s">
        <v>7</v>
      </c>
      <c r="C3" s="10" t="s">
        <v>43</v>
      </c>
      <c r="D3" s="10" t="s">
        <v>44</v>
      </c>
      <c r="E3" s="10" t="s">
        <v>45</v>
      </c>
    </row>
    <row r="4" customFormat="false" ht="15" hidden="false" customHeight="false" outlineLevel="0" collapsed="false">
      <c r="A4" s="14" t="n">
        <v>46174</v>
      </c>
      <c r="B4" s="5" t="s">
        <v>10</v>
      </c>
      <c r="C4" s="7" t="n">
        <f aca="false">COUNTIFS(Pazienti!$A$2:$A$501,"&gt;="&amp;A4,Pazienti!$A$2:$A$501,"&lt;"&amp;EDATE(A4,1),Pazienti!$B$2:$B$501,B4)</f>
        <v>0</v>
      </c>
      <c r="D4" s="7" t="n">
        <f aca="false">COUNTIFS(Pazienti!$A$2:$A$501,"&gt;="&amp;A4,Pazienti!$A$2:$A$501,"&lt;"&amp;EDATE(A4,1),Pazienti!$B$2:$B$501,B4,Pazienti!$E$2:$E$501,"Nuovo")</f>
        <v>0</v>
      </c>
      <c r="E4" s="8" t="n">
        <f aca="false">SUMIFS(Pazienti!$D$2:$D$501,Pazienti!$A$2:$A$501,"&gt;="&amp;A4,Pazienti!$A$2:$A$501,"&lt;"&amp;EDATE(A4,1),Pazienti!$B$2:$B$501,B4)</f>
        <v>0</v>
      </c>
    </row>
    <row r="5" customFormat="false" ht="15" hidden="false" customHeight="false" outlineLevel="0" collapsed="false">
      <c r="A5" s="14" t="n">
        <v>46174</v>
      </c>
      <c r="B5" s="5" t="s">
        <v>11</v>
      </c>
      <c r="C5" s="7" t="n">
        <f aca="false">COUNTIFS(Pazienti!$A$2:$A$501,"&gt;="&amp;A5,Pazienti!$A$2:$A$501,"&lt;"&amp;EDATE(A5,1),Pazienti!$B$2:$B$501,B5)</f>
        <v>0</v>
      </c>
      <c r="D5" s="7" t="n">
        <f aca="false">COUNTIFS(Pazienti!$A$2:$A$501,"&gt;="&amp;A5,Pazienti!$A$2:$A$501,"&lt;"&amp;EDATE(A5,1),Pazienti!$B$2:$B$501,B5,Pazienti!$E$2:$E$501,"Nuovo")</f>
        <v>0</v>
      </c>
      <c r="E5" s="8" t="n">
        <f aca="false">SUMIFS(Pazienti!$D$2:$D$501,Pazienti!$A$2:$A$501,"&gt;="&amp;A5,Pazienti!$A$2:$A$501,"&lt;"&amp;EDATE(A5,1),Pazienti!$B$2:$B$501,B5)</f>
        <v>0</v>
      </c>
    </row>
    <row r="6" customFormat="false" ht="15" hidden="false" customHeight="false" outlineLevel="0" collapsed="false">
      <c r="A6" s="14" t="n">
        <v>46174</v>
      </c>
      <c r="B6" s="5" t="s">
        <v>12</v>
      </c>
      <c r="C6" s="7" t="n">
        <f aca="false">COUNTIFS(Pazienti!$A$2:$A$501,"&gt;="&amp;A6,Pazienti!$A$2:$A$501,"&lt;"&amp;EDATE(A6,1),Pazienti!$B$2:$B$501,B6)</f>
        <v>0</v>
      </c>
      <c r="D6" s="7" t="n">
        <f aca="false">COUNTIFS(Pazienti!$A$2:$A$501,"&gt;="&amp;A6,Pazienti!$A$2:$A$501,"&lt;"&amp;EDATE(A6,1),Pazienti!$B$2:$B$501,B6,Pazienti!$E$2:$E$501,"Nuovo")</f>
        <v>0</v>
      </c>
      <c r="E6" s="8" t="n">
        <f aca="false">SUMIFS(Pazienti!$D$2:$D$501,Pazienti!$A$2:$A$501,"&gt;="&amp;A6,Pazienti!$A$2:$A$501,"&lt;"&amp;EDATE(A6,1),Pazienti!$B$2:$B$501,B6)</f>
        <v>0</v>
      </c>
    </row>
    <row r="7" customFormat="false" ht="15" hidden="false" customHeight="false" outlineLevel="0" collapsed="false">
      <c r="A7" s="14" t="n">
        <v>46204</v>
      </c>
      <c r="B7" s="5" t="s">
        <v>10</v>
      </c>
      <c r="C7" s="7" t="n">
        <f aca="false">COUNTIFS(Pazienti!$A$2:$A$501,"&gt;="&amp;A7,Pazienti!$A$2:$A$501,"&lt;"&amp;EDATE(A7,1),Pazienti!$B$2:$B$501,B7)</f>
        <v>0</v>
      </c>
      <c r="D7" s="7" t="n">
        <f aca="false">COUNTIFS(Pazienti!$A$2:$A$501,"&gt;="&amp;A7,Pazienti!$A$2:$A$501,"&lt;"&amp;EDATE(A7,1),Pazienti!$B$2:$B$501,B7,Pazienti!$E$2:$E$501,"Nuovo")</f>
        <v>0</v>
      </c>
      <c r="E7" s="8" t="n">
        <f aca="false">SUMIFS(Pazienti!$D$2:$D$501,Pazienti!$A$2:$A$501,"&gt;="&amp;A7,Pazienti!$A$2:$A$501,"&lt;"&amp;EDATE(A7,1),Pazienti!$B$2:$B$501,B7)</f>
        <v>0</v>
      </c>
    </row>
    <row r="8" customFormat="false" ht="15" hidden="false" customHeight="false" outlineLevel="0" collapsed="false">
      <c r="A8" s="14" t="n">
        <v>46204</v>
      </c>
      <c r="B8" s="5" t="s">
        <v>11</v>
      </c>
      <c r="C8" s="7" t="n">
        <f aca="false">COUNTIFS(Pazienti!$A$2:$A$501,"&gt;="&amp;A8,Pazienti!$A$2:$A$501,"&lt;"&amp;EDATE(A8,1),Pazienti!$B$2:$B$501,B8)</f>
        <v>0</v>
      </c>
      <c r="D8" s="7" t="n">
        <f aca="false">COUNTIFS(Pazienti!$A$2:$A$501,"&gt;="&amp;A8,Pazienti!$A$2:$A$501,"&lt;"&amp;EDATE(A8,1),Pazienti!$B$2:$B$501,B8,Pazienti!$E$2:$E$501,"Nuovo")</f>
        <v>0</v>
      </c>
      <c r="E8" s="8" t="n">
        <f aca="false">SUMIFS(Pazienti!$D$2:$D$501,Pazienti!$A$2:$A$501,"&gt;="&amp;A8,Pazienti!$A$2:$A$501,"&lt;"&amp;EDATE(A8,1),Pazienti!$B$2:$B$501,B8)</f>
        <v>0</v>
      </c>
    </row>
    <row r="9" customFormat="false" ht="15" hidden="false" customHeight="false" outlineLevel="0" collapsed="false">
      <c r="A9" s="14" t="n">
        <v>46204</v>
      </c>
      <c r="B9" s="5" t="s">
        <v>12</v>
      </c>
      <c r="C9" s="7" t="n">
        <f aca="false">COUNTIFS(Pazienti!$A$2:$A$501,"&gt;="&amp;A9,Pazienti!$A$2:$A$501,"&lt;"&amp;EDATE(A9,1),Pazienti!$B$2:$B$501,B9)</f>
        <v>0</v>
      </c>
      <c r="D9" s="7" t="n">
        <f aca="false">COUNTIFS(Pazienti!$A$2:$A$501,"&gt;="&amp;A9,Pazienti!$A$2:$A$501,"&lt;"&amp;EDATE(A9,1),Pazienti!$B$2:$B$501,B9,Pazienti!$E$2:$E$501,"Nuovo")</f>
        <v>0</v>
      </c>
      <c r="E9" s="8" t="n">
        <f aca="false">SUMIFS(Pazienti!$D$2:$D$501,Pazienti!$A$2:$A$501,"&gt;="&amp;A9,Pazienti!$A$2:$A$501,"&lt;"&amp;EDATE(A9,1),Pazienti!$B$2:$B$501,B9)</f>
        <v>0</v>
      </c>
    </row>
    <row r="10" customFormat="false" ht="15" hidden="false" customHeight="false" outlineLevel="0" collapsed="false">
      <c r="A10" s="14" t="n">
        <v>46235</v>
      </c>
      <c r="B10" s="5" t="s">
        <v>10</v>
      </c>
      <c r="C10" s="7" t="n">
        <f aca="false">COUNTIFS(Pazienti!$A$2:$A$501,"&gt;="&amp;A10,Pazienti!$A$2:$A$501,"&lt;"&amp;EDATE(A10,1),Pazienti!$B$2:$B$501,B10)</f>
        <v>0</v>
      </c>
      <c r="D10" s="7" t="n">
        <f aca="false">COUNTIFS(Pazienti!$A$2:$A$501,"&gt;="&amp;A10,Pazienti!$A$2:$A$501,"&lt;"&amp;EDATE(A10,1),Pazienti!$B$2:$B$501,B10,Pazienti!$E$2:$E$501,"Nuovo")</f>
        <v>0</v>
      </c>
      <c r="E10" s="8" t="n">
        <f aca="false">SUMIFS(Pazienti!$D$2:$D$501,Pazienti!$A$2:$A$501,"&gt;="&amp;A10,Pazienti!$A$2:$A$501,"&lt;"&amp;EDATE(A10,1),Pazienti!$B$2:$B$501,B10)</f>
        <v>0</v>
      </c>
    </row>
    <row r="11" customFormat="false" ht="15" hidden="false" customHeight="false" outlineLevel="0" collapsed="false">
      <c r="A11" s="14" t="n">
        <v>46235</v>
      </c>
      <c r="B11" s="5" t="s">
        <v>11</v>
      </c>
      <c r="C11" s="7" t="n">
        <f aca="false">COUNTIFS(Pazienti!$A$2:$A$501,"&gt;="&amp;A11,Pazienti!$A$2:$A$501,"&lt;"&amp;EDATE(A11,1),Pazienti!$B$2:$B$501,B11)</f>
        <v>0</v>
      </c>
      <c r="D11" s="7" t="n">
        <f aca="false">COUNTIFS(Pazienti!$A$2:$A$501,"&gt;="&amp;A11,Pazienti!$A$2:$A$501,"&lt;"&amp;EDATE(A11,1),Pazienti!$B$2:$B$501,B11,Pazienti!$E$2:$E$501,"Nuovo")</f>
        <v>0</v>
      </c>
      <c r="E11" s="8" t="n">
        <f aca="false">SUMIFS(Pazienti!$D$2:$D$501,Pazienti!$A$2:$A$501,"&gt;="&amp;A11,Pazienti!$A$2:$A$501,"&lt;"&amp;EDATE(A11,1),Pazienti!$B$2:$B$501,B11)</f>
        <v>0</v>
      </c>
    </row>
    <row r="12" customFormat="false" ht="15" hidden="false" customHeight="false" outlineLevel="0" collapsed="false">
      <c r="A12" s="14" t="n">
        <v>46235</v>
      </c>
      <c r="B12" s="5" t="s">
        <v>12</v>
      </c>
      <c r="C12" s="7" t="n">
        <f aca="false">COUNTIFS(Pazienti!$A$2:$A$501,"&gt;="&amp;A12,Pazienti!$A$2:$A$501,"&lt;"&amp;EDATE(A12,1),Pazienti!$B$2:$B$501,B12)</f>
        <v>0</v>
      </c>
      <c r="D12" s="7" t="n">
        <f aca="false">COUNTIFS(Pazienti!$A$2:$A$501,"&gt;="&amp;A12,Pazienti!$A$2:$A$501,"&lt;"&amp;EDATE(A12,1),Pazienti!$B$2:$B$501,B12,Pazienti!$E$2:$E$501,"Nuovo")</f>
        <v>0</v>
      </c>
      <c r="E12" s="8" t="n">
        <f aca="false">SUMIFS(Pazienti!$D$2:$D$501,Pazienti!$A$2:$A$501,"&gt;="&amp;A12,Pazienti!$A$2:$A$501,"&lt;"&amp;EDATE(A12,1),Pazienti!$B$2:$B$501,B12)</f>
        <v>0</v>
      </c>
    </row>
    <row r="13" customFormat="false" ht="15" hidden="false" customHeight="false" outlineLevel="0" collapsed="false">
      <c r="A13" s="14" t="n">
        <v>46266</v>
      </c>
      <c r="B13" s="5" t="s">
        <v>10</v>
      </c>
      <c r="C13" s="7" t="n">
        <f aca="false">COUNTIFS(Pazienti!$A$2:$A$501,"&gt;="&amp;A13,Pazienti!$A$2:$A$501,"&lt;"&amp;EDATE(A13,1),Pazienti!$B$2:$B$501,B13)</f>
        <v>0</v>
      </c>
      <c r="D13" s="7" t="n">
        <f aca="false">COUNTIFS(Pazienti!$A$2:$A$501,"&gt;="&amp;A13,Pazienti!$A$2:$A$501,"&lt;"&amp;EDATE(A13,1),Pazienti!$B$2:$B$501,B13,Pazienti!$E$2:$E$501,"Nuovo")</f>
        <v>0</v>
      </c>
      <c r="E13" s="8" t="n">
        <f aca="false">SUMIFS(Pazienti!$D$2:$D$501,Pazienti!$A$2:$A$501,"&gt;="&amp;A13,Pazienti!$A$2:$A$501,"&lt;"&amp;EDATE(A13,1),Pazienti!$B$2:$B$501,B13)</f>
        <v>0</v>
      </c>
    </row>
    <row r="14" customFormat="false" ht="15" hidden="false" customHeight="false" outlineLevel="0" collapsed="false">
      <c r="A14" s="14" t="n">
        <v>46266</v>
      </c>
      <c r="B14" s="5" t="s">
        <v>11</v>
      </c>
      <c r="C14" s="7" t="n">
        <f aca="false">COUNTIFS(Pazienti!$A$2:$A$501,"&gt;="&amp;A14,Pazienti!$A$2:$A$501,"&lt;"&amp;EDATE(A14,1),Pazienti!$B$2:$B$501,B14)</f>
        <v>0</v>
      </c>
      <c r="D14" s="7" t="n">
        <f aca="false">COUNTIFS(Pazienti!$A$2:$A$501,"&gt;="&amp;A14,Pazienti!$A$2:$A$501,"&lt;"&amp;EDATE(A14,1),Pazienti!$B$2:$B$501,B14,Pazienti!$E$2:$E$501,"Nuovo")</f>
        <v>0</v>
      </c>
      <c r="E14" s="8" t="n">
        <f aca="false">SUMIFS(Pazienti!$D$2:$D$501,Pazienti!$A$2:$A$501,"&gt;="&amp;A14,Pazienti!$A$2:$A$501,"&lt;"&amp;EDATE(A14,1),Pazienti!$B$2:$B$501,B14)</f>
        <v>0</v>
      </c>
    </row>
    <row r="15" customFormat="false" ht="15" hidden="false" customHeight="false" outlineLevel="0" collapsed="false">
      <c r="A15" s="14" t="n">
        <v>46266</v>
      </c>
      <c r="B15" s="5" t="s">
        <v>12</v>
      </c>
      <c r="C15" s="7" t="n">
        <f aca="false">COUNTIFS(Pazienti!$A$2:$A$501,"&gt;="&amp;A15,Pazienti!$A$2:$A$501,"&lt;"&amp;EDATE(A15,1),Pazienti!$B$2:$B$501,B15)</f>
        <v>0</v>
      </c>
      <c r="D15" s="7" t="n">
        <f aca="false">COUNTIFS(Pazienti!$A$2:$A$501,"&gt;="&amp;A15,Pazienti!$A$2:$A$501,"&lt;"&amp;EDATE(A15,1),Pazienti!$B$2:$B$501,B15,Pazienti!$E$2:$E$501,"Nuovo")</f>
        <v>0</v>
      </c>
      <c r="E15" s="8" t="n">
        <f aca="false">SUMIFS(Pazienti!$D$2:$D$501,Pazienti!$A$2:$A$501,"&gt;="&amp;A15,Pazienti!$A$2:$A$501,"&lt;"&amp;EDATE(A15,1),Pazienti!$B$2:$B$501,B15)</f>
        <v>0</v>
      </c>
    </row>
    <row r="16" customFormat="false" ht="15" hidden="false" customHeight="false" outlineLevel="0" collapsed="false">
      <c r="A16" s="14" t="n">
        <v>46296</v>
      </c>
      <c r="B16" s="5" t="s">
        <v>10</v>
      </c>
      <c r="C16" s="7" t="n">
        <f aca="false">COUNTIFS(Pazienti!$A$2:$A$501,"&gt;="&amp;A16,Pazienti!$A$2:$A$501,"&lt;"&amp;EDATE(A16,1),Pazienti!$B$2:$B$501,B16)</f>
        <v>0</v>
      </c>
      <c r="D16" s="7" t="n">
        <f aca="false">COUNTIFS(Pazienti!$A$2:$A$501,"&gt;="&amp;A16,Pazienti!$A$2:$A$501,"&lt;"&amp;EDATE(A16,1),Pazienti!$B$2:$B$501,B16,Pazienti!$E$2:$E$501,"Nuovo")</f>
        <v>0</v>
      </c>
      <c r="E16" s="8" t="n">
        <f aca="false">SUMIFS(Pazienti!$D$2:$D$501,Pazienti!$A$2:$A$501,"&gt;="&amp;A16,Pazienti!$A$2:$A$501,"&lt;"&amp;EDATE(A16,1),Pazienti!$B$2:$B$501,B16)</f>
        <v>0</v>
      </c>
    </row>
    <row r="17" customFormat="false" ht="15" hidden="false" customHeight="false" outlineLevel="0" collapsed="false">
      <c r="A17" s="14" t="n">
        <v>46296</v>
      </c>
      <c r="B17" s="5" t="s">
        <v>11</v>
      </c>
      <c r="C17" s="7" t="n">
        <f aca="false">COUNTIFS(Pazienti!$A$2:$A$501,"&gt;="&amp;A17,Pazienti!$A$2:$A$501,"&lt;"&amp;EDATE(A17,1),Pazienti!$B$2:$B$501,B17)</f>
        <v>0</v>
      </c>
      <c r="D17" s="7" t="n">
        <f aca="false">COUNTIFS(Pazienti!$A$2:$A$501,"&gt;="&amp;A17,Pazienti!$A$2:$A$501,"&lt;"&amp;EDATE(A17,1),Pazienti!$B$2:$B$501,B17,Pazienti!$E$2:$E$501,"Nuovo")</f>
        <v>0</v>
      </c>
      <c r="E17" s="8" t="n">
        <f aca="false">SUMIFS(Pazienti!$D$2:$D$501,Pazienti!$A$2:$A$501,"&gt;="&amp;A17,Pazienti!$A$2:$A$501,"&lt;"&amp;EDATE(A17,1),Pazienti!$B$2:$B$501,B17)</f>
        <v>0</v>
      </c>
    </row>
    <row r="18" customFormat="false" ht="15" hidden="false" customHeight="false" outlineLevel="0" collapsed="false">
      <c r="A18" s="14" t="n">
        <v>46296</v>
      </c>
      <c r="B18" s="5" t="s">
        <v>12</v>
      </c>
      <c r="C18" s="7" t="n">
        <f aca="false">COUNTIFS(Pazienti!$A$2:$A$501,"&gt;="&amp;A18,Pazienti!$A$2:$A$501,"&lt;"&amp;EDATE(A18,1),Pazienti!$B$2:$B$501,B18)</f>
        <v>0</v>
      </c>
      <c r="D18" s="7" t="n">
        <f aca="false">COUNTIFS(Pazienti!$A$2:$A$501,"&gt;="&amp;A18,Pazienti!$A$2:$A$501,"&lt;"&amp;EDATE(A18,1),Pazienti!$B$2:$B$501,B18,Pazienti!$E$2:$E$501,"Nuovo")</f>
        <v>0</v>
      </c>
      <c r="E18" s="8" t="n">
        <f aca="false">SUMIFS(Pazienti!$D$2:$D$501,Pazienti!$A$2:$A$501,"&gt;="&amp;A18,Pazienti!$A$2:$A$501,"&lt;"&amp;EDATE(A18,1),Pazienti!$B$2:$B$501,B18)</f>
        <v>0</v>
      </c>
    </row>
    <row r="19" customFormat="false" ht="15" hidden="false" customHeight="false" outlineLevel="0" collapsed="false">
      <c r="A19" s="14" t="n">
        <v>46327</v>
      </c>
      <c r="B19" s="5" t="s">
        <v>10</v>
      </c>
      <c r="C19" s="7" t="n">
        <f aca="false">COUNTIFS(Pazienti!$A$2:$A$501,"&gt;="&amp;A19,Pazienti!$A$2:$A$501,"&lt;"&amp;EDATE(A19,1),Pazienti!$B$2:$B$501,B19)</f>
        <v>0</v>
      </c>
      <c r="D19" s="7" t="n">
        <f aca="false">COUNTIFS(Pazienti!$A$2:$A$501,"&gt;="&amp;A19,Pazienti!$A$2:$A$501,"&lt;"&amp;EDATE(A19,1),Pazienti!$B$2:$B$501,B19,Pazienti!$E$2:$E$501,"Nuovo")</f>
        <v>0</v>
      </c>
      <c r="E19" s="8" t="n">
        <f aca="false">SUMIFS(Pazienti!$D$2:$D$501,Pazienti!$A$2:$A$501,"&gt;="&amp;A19,Pazienti!$A$2:$A$501,"&lt;"&amp;EDATE(A19,1),Pazienti!$B$2:$B$501,B19)</f>
        <v>0</v>
      </c>
    </row>
    <row r="20" customFormat="false" ht="15" hidden="false" customHeight="false" outlineLevel="0" collapsed="false">
      <c r="A20" s="14" t="n">
        <v>46327</v>
      </c>
      <c r="B20" s="5" t="s">
        <v>11</v>
      </c>
      <c r="C20" s="7" t="n">
        <f aca="false">COUNTIFS(Pazienti!$A$2:$A$501,"&gt;="&amp;A20,Pazienti!$A$2:$A$501,"&lt;"&amp;EDATE(A20,1),Pazienti!$B$2:$B$501,B20)</f>
        <v>0</v>
      </c>
      <c r="D20" s="7" t="n">
        <f aca="false">COUNTIFS(Pazienti!$A$2:$A$501,"&gt;="&amp;A20,Pazienti!$A$2:$A$501,"&lt;"&amp;EDATE(A20,1),Pazienti!$B$2:$B$501,B20,Pazienti!$E$2:$E$501,"Nuovo")</f>
        <v>0</v>
      </c>
      <c r="E20" s="8" t="n">
        <f aca="false">SUMIFS(Pazienti!$D$2:$D$501,Pazienti!$A$2:$A$501,"&gt;="&amp;A20,Pazienti!$A$2:$A$501,"&lt;"&amp;EDATE(A20,1),Pazienti!$B$2:$B$501,B20)</f>
        <v>0</v>
      </c>
    </row>
    <row r="21" customFormat="false" ht="15" hidden="false" customHeight="false" outlineLevel="0" collapsed="false">
      <c r="A21" s="14" t="n">
        <v>46327</v>
      </c>
      <c r="B21" s="5" t="s">
        <v>12</v>
      </c>
      <c r="C21" s="7" t="n">
        <f aca="false">COUNTIFS(Pazienti!$A$2:$A$501,"&gt;="&amp;A21,Pazienti!$A$2:$A$501,"&lt;"&amp;EDATE(A21,1),Pazienti!$B$2:$B$501,B21)</f>
        <v>0</v>
      </c>
      <c r="D21" s="7" t="n">
        <f aca="false">COUNTIFS(Pazienti!$A$2:$A$501,"&gt;="&amp;A21,Pazienti!$A$2:$A$501,"&lt;"&amp;EDATE(A21,1),Pazienti!$B$2:$B$501,B21,Pazienti!$E$2:$E$501,"Nuovo")</f>
        <v>0</v>
      </c>
      <c r="E21" s="8" t="n">
        <f aca="false">SUMIFS(Pazienti!$D$2:$D$501,Pazienti!$A$2:$A$501,"&gt;="&amp;A21,Pazienti!$A$2:$A$501,"&lt;"&amp;EDATE(A21,1),Pazienti!$B$2:$B$501,B21)</f>
        <v>0</v>
      </c>
    </row>
    <row r="22" customFormat="false" ht="15" hidden="false" customHeight="false" outlineLevel="0" collapsed="false">
      <c r="A22" s="14" t="n">
        <v>46357</v>
      </c>
      <c r="B22" s="5" t="s">
        <v>10</v>
      </c>
      <c r="C22" s="7" t="n">
        <f aca="false">COUNTIFS(Pazienti!$A$2:$A$501,"&gt;="&amp;A22,Pazienti!$A$2:$A$501,"&lt;"&amp;EDATE(A22,1),Pazienti!$B$2:$B$501,B22)</f>
        <v>0</v>
      </c>
      <c r="D22" s="7" t="n">
        <f aca="false">COUNTIFS(Pazienti!$A$2:$A$501,"&gt;="&amp;A22,Pazienti!$A$2:$A$501,"&lt;"&amp;EDATE(A22,1),Pazienti!$B$2:$B$501,B22,Pazienti!$E$2:$E$501,"Nuovo")</f>
        <v>0</v>
      </c>
      <c r="E22" s="8" t="n">
        <f aca="false">SUMIFS(Pazienti!$D$2:$D$501,Pazienti!$A$2:$A$501,"&gt;="&amp;A22,Pazienti!$A$2:$A$501,"&lt;"&amp;EDATE(A22,1),Pazienti!$B$2:$B$501,B22)</f>
        <v>0</v>
      </c>
    </row>
    <row r="23" customFormat="false" ht="15" hidden="false" customHeight="false" outlineLevel="0" collapsed="false">
      <c r="A23" s="14" t="n">
        <v>46357</v>
      </c>
      <c r="B23" s="5" t="s">
        <v>11</v>
      </c>
      <c r="C23" s="7" t="n">
        <f aca="false">COUNTIFS(Pazienti!$A$2:$A$501,"&gt;="&amp;A23,Pazienti!$A$2:$A$501,"&lt;"&amp;EDATE(A23,1),Pazienti!$B$2:$B$501,B23)</f>
        <v>0</v>
      </c>
      <c r="D23" s="7" t="n">
        <f aca="false">COUNTIFS(Pazienti!$A$2:$A$501,"&gt;="&amp;A23,Pazienti!$A$2:$A$501,"&lt;"&amp;EDATE(A23,1),Pazienti!$B$2:$B$501,B23,Pazienti!$E$2:$E$501,"Nuovo")</f>
        <v>0</v>
      </c>
      <c r="E23" s="8" t="n">
        <f aca="false">SUMIFS(Pazienti!$D$2:$D$501,Pazienti!$A$2:$A$501,"&gt;="&amp;A23,Pazienti!$A$2:$A$501,"&lt;"&amp;EDATE(A23,1),Pazienti!$B$2:$B$501,B23)</f>
        <v>0</v>
      </c>
    </row>
    <row r="24" customFormat="false" ht="15" hidden="false" customHeight="false" outlineLevel="0" collapsed="false">
      <c r="A24" s="14" t="n">
        <v>46357</v>
      </c>
      <c r="B24" s="5" t="s">
        <v>12</v>
      </c>
      <c r="C24" s="7" t="n">
        <f aca="false">COUNTIFS(Pazienti!$A$2:$A$501,"&gt;="&amp;A24,Pazienti!$A$2:$A$501,"&lt;"&amp;EDATE(A24,1),Pazienti!$B$2:$B$501,B24)</f>
        <v>0</v>
      </c>
      <c r="D24" s="7" t="n">
        <f aca="false">COUNTIFS(Pazienti!$A$2:$A$501,"&gt;="&amp;A24,Pazienti!$A$2:$A$501,"&lt;"&amp;EDATE(A24,1),Pazienti!$B$2:$B$501,B24,Pazienti!$E$2:$E$501,"Nuovo")</f>
        <v>0</v>
      </c>
      <c r="E24" s="8" t="n">
        <f aca="false">SUMIFS(Pazienti!$D$2:$D$501,Pazienti!$A$2:$A$501,"&gt;="&amp;A24,Pazienti!$A$2:$A$501,"&lt;"&amp;EDATE(A24,1),Pazienti!$B$2:$B$501,B24)</f>
        <v>0</v>
      </c>
    </row>
    <row r="26" customFormat="false" ht="15" hidden="false" customHeight="false" outlineLevel="0" collapsed="false">
      <c r="A26" s="3" t="s">
        <v>46</v>
      </c>
    </row>
    <row r="27" customFormat="false" ht="15" hidden="false" customHeight="false" outlineLevel="0" collapsed="false">
      <c r="A27" s="10" t="s">
        <v>42</v>
      </c>
      <c r="B27" s="10" t="s">
        <v>43</v>
      </c>
      <c r="C27" s="10" t="s">
        <v>44</v>
      </c>
      <c r="D27" s="10" t="s">
        <v>45</v>
      </c>
    </row>
    <row r="28" customFormat="false" ht="15" hidden="false" customHeight="false" outlineLevel="0" collapsed="false">
      <c r="A28" s="14" t="n">
        <v>46174</v>
      </c>
      <c r="B28" s="7" t="n">
        <f aca="false">COUNTIFS(Pazienti!$A$2:$A$501,"&gt;="&amp;A28,Pazienti!$A$2:$A$501,"&lt;"&amp;EDATE(A28,1))</f>
        <v>0</v>
      </c>
      <c r="C28" s="7" t="n">
        <f aca="false">COUNTIFS(Pazienti!$A$2:$A$501,"&gt;="&amp;A28,Pazienti!$A$2:$A$501,"&lt;"&amp;EDATE(A28,1),Pazienti!$E$2:$E$501,"Nuovo")</f>
        <v>0</v>
      </c>
      <c r="D28" s="8" t="n">
        <f aca="false">SUMIFS(Pazienti!$D$2:$D$501,Pazienti!$A$2:$A$501,"&gt;="&amp;A28,Pazienti!$A$2:$A$501,"&lt;"&amp;EDATE(A28,1))</f>
        <v>0</v>
      </c>
    </row>
    <row r="29" customFormat="false" ht="15" hidden="false" customHeight="false" outlineLevel="0" collapsed="false">
      <c r="A29" s="14" t="n">
        <v>46204</v>
      </c>
      <c r="B29" s="7" t="n">
        <f aca="false">COUNTIFS(Pazienti!$A$2:$A$501,"&gt;="&amp;A29,Pazienti!$A$2:$A$501,"&lt;"&amp;EDATE(A29,1))</f>
        <v>0</v>
      </c>
      <c r="C29" s="7" t="n">
        <f aca="false">COUNTIFS(Pazienti!$A$2:$A$501,"&gt;="&amp;A29,Pazienti!$A$2:$A$501,"&lt;"&amp;EDATE(A29,1),Pazienti!$E$2:$E$501,"Nuovo")</f>
        <v>0</v>
      </c>
      <c r="D29" s="8" t="n">
        <f aca="false">SUMIFS(Pazienti!$D$2:$D$501,Pazienti!$A$2:$A$501,"&gt;="&amp;A29,Pazienti!$A$2:$A$501,"&lt;"&amp;EDATE(A29,1))</f>
        <v>0</v>
      </c>
    </row>
    <row r="30" customFormat="false" ht="15" hidden="false" customHeight="false" outlineLevel="0" collapsed="false">
      <c r="A30" s="14" t="n">
        <v>46235</v>
      </c>
      <c r="B30" s="7" t="n">
        <f aca="false">COUNTIFS(Pazienti!$A$2:$A$501,"&gt;="&amp;A30,Pazienti!$A$2:$A$501,"&lt;"&amp;EDATE(A30,1))</f>
        <v>0</v>
      </c>
      <c r="C30" s="7" t="n">
        <f aca="false">COUNTIFS(Pazienti!$A$2:$A$501,"&gt;="&amp;A30,Pazienti!$A$2:$A$501,"&lt;"&amp;EDATE(A30,1),Pazienti!$E$2:$E$501,"Nuovo")</f>
        <v>0</v>
      </c>
      <c r="D30" s="8" t="n">
        <f aca="false">SUMIFS(Pazienti!$D$2:$D$501,Pazienti!$A$2:$A$501,"&gt;="&amp;A30,Pazienti!$A$2:$A$501,"&lt;"&amp;EDATE(A30,1))</f>
        <v>0</v>
      </c>
    </row>
    <row r="31" customFormat="false" ht="15" hidden="false" customHeight="false" outlineLevel="0" collapsed="false">
      <c r="A31" s="14" t="n">
        <v>46266</v>
      </c>
      <c r="B31" s="7" t="n">
        <f aca="false">COUNTIFS(Pazienti!$A$2:$A$501,"&gt;="&amp;A31,Pazienti!$A$2:$A$501,"&lt;"&amp;EDATE(A31,1))</f>
        <v>0</v>
      </c>
      <c r="C31" s="7" t="n">
        <f aca="false">COUNTIFS(Pazienti!$A$2:$A$501,"&gt;="&amp;A31,Pazienti!$A$2:$A$501,"&lt;"&amp;EDATE(A31,1),Pazienti!$E$2:$E$501,"Nuovo")</f>
        <v>0</v>
      </c>
      <c r="D31" s="8" t="n">
        <f aca="false">SUMIFS(Pazienti!$D$2:$D$501,Pazienti!$A$2:$A$501,"&gt;="&amp;A31,Pazienti!$A$2:$A$501,"&lt;"&amp;EDATE(A31,1))</f>
        <v>0</v>
      </c>
    </row>
    <row r="32" customFormat="false" ht="15" hidden="false" customHeight="false" outlineLevel="0" collapsed="false">
      <c r="A32" s="14" t="n">
        <v>46296</v>
      </c>
      <c r="B32" s="7" t="n">
        <f aca="false">COUNTIFS(Pazienti!$A$2:$A$501,"&gt;="&amp;A32,Pazienti!$A$2:$A$501,"&lt;"&amp;EDATE(A32,1))</f>
        <v>0</v>
      </c>
      <c r="C32" s="7" t="n">
        <f aca="false">COUNTIFS(Pazienti!$A$2:$A$501,"&gt;="&amp;A32,Pazienti!$A$2:$A$501,"&lt;"&amp;EDATE(A32,1),Pazienti!$E$2:$E$501,"Nuovo")</f>
        <v>0</v>
      </c>
      <c r="D32" s="8" t="n">
        <f aca="false">SUMIFS(Pazienti!$D$2:$D$501,Pazienti!$A$2:$A$501,"&gt;="&amp;A32,Pazienti!$A$2:$A$501,"&lt;"&amp;EDATE(A32,1))</f>
        <v>0</v>
      </c>
    </row>
    <row r="33" customFormat="false" ht="15" hidden="false" customHeight="false" outlineLevel="0" collapsed="false">
      <c r="A33" s="14" t="n">
        <v>46327</v>
      </c>
      <c r="B33" s="7" t="n">
        <f aca="false">COUNTIFS(Pazienti!$A$2:$A$501,"&gt;="&amp;A33,Pazienti!$A$2:$A$501,"&lt;"&amp;EDATE(A33,1))</f>
        <v>0</v>
      </c>
      <c r="C33" s="7" t="n">
        <f aca="false">COUNTIFS(Pazienti!$A$2:$A$501,"&gt;="&amp;A33,Pazienti!$A$2:$A$501,"&lt;"&amp;EDATE(A33,1),Pazienti!$E$2:$E$501,"Nuovo")</f>
        <v>0</v>
      </c>
      <c r="D33" s="8" t="n">
        <f aca="false">SUMIFS(Pazienti!$D$2:$D$501,Pazienti!$A$2:$A$501,"&gt;="&amp;A33,Pazienti!$A$2:$A$501,"&lt;"&amp;EDATE(A33,1))</f>
        <v>0</v>
      </c>
    </row>
    <row r="34" customFormat="false" ht="15" hidden="false" customHeight="false" outlineLevel="0" collapsed="false">
      <c r="A34" s="14" t="n">
        <v>46357</v>
      </c>
      <c r="B34" s="7" t="n">
        <f aca="false">COUNTIFS(Pazienti!$A$2:$A$501,"&gt;="&amp;A34,Pazienti!$A$2:$A$501,"&lt;"&amp;EDATE(A34,1))</f>
        <v>0</v>
      </c>
      <c r="C34" s="7" t="n">
        <f aca="false">COUNTIFS(Pazienti!$A$2:$A$501,"&gt;="&amp;A34,Pazienti!$A$2:$A$501,"&lt;"&amp;EDATE(A34,1),Pazienti!$E$2:$E$501,"Nuovo")</f>
        <v>0</v>
      </c>
      <c r="D34" s="8" t="n">
        <f aca="false">SUMIFS(Pazienti!$D$2:$D$501,Pazienti!$A$2:$A$501,"&gt;="&amp;A34,Pazienti!$A$2:$A$501,"&lt;"&amp;EDATE(A34,1))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4" min="3" style="0" width="14"/>
    <col collapsed="false" customWidth="true" hidden="false" outlineLevel="0" max="5" min="5" style="0" width="18"/>
  </cols>
  <sheetData>
    <row r="1" customFormat="false" ht="17.35" hidden="false" customHeight="false" outlineLevel="0" collapsed="false">
      <c r="A1" s="1" t="s">
        <v>47</v>
      </c>
    </row>
    <row r="2" customFormat="false" ht="15" hidden="false" customHeight="false" outlineLevel="0" collapsed="false">
      <c r="A2" s="2" t="s">
        <v>48</v>
      </c>
    </row>
    <row r="4" customFormat="false" ht="26.85" hidden="false" customHeight="false" outlineLevel="0" collapsed="false">
      <c r="A4" s="15" t="s">
        <v>49</v>
      </c>
      <c r="B4" s="15" t="s">
        <v>50</v>
      </c>
      <c r="C4" s="15" t="s">
        <v>51</v>
      </c>
      <c r="D4" s="15" t="s">
        <v>52</v>
      </c>
      <c r="E4" s="15" t="s">
        <v>53</v>
      </c>
    </row>
    <row r="5" customFormat="false" ht="15" hidden="false" customHeight="false" outlineLevel="0" collapsed="false">
      <c r="A5" s="16" t="n">
        <v>46188</v>
      </c>
      <c r="B5" s="5" t="n">
        <v>17</v>
      </c>
      <c r="C5" s="5"/>
      <c r="D5" s="17" t="n">
        <f aca="false">IFERROR(C5/B5,0)</f>
        <v>0</v>
      </c>
      <c r="E5" s="8" t="n">
        <f aca="false">SUMIFS(Pazienti!$D$2:$D$501,Pazienti!$A$2:$A$501,"&gt;="&amp;A5,Pazienti!$A$2:$A$501,"&lt;"&amp;(A5+7),Pazienti!$B$2:$B$501,"San Donato")</f>
        <v>0</v>
      </c>
    </row>
    <row r="6" customFormat="false" ht="15" hidden="false" customHeight="false" outlineLevel="0" collapsed="false">
      <c r="A6" s="16" t="n">
        <v>46195</v>
      </c>
      <c r="B6" s="5" t="n">
        <v>17</v>
      </c>
      <c r="C6" s="5"/>
      <c r="D6" s="17" t="n">
        <f aca="false">IFERROR(C6/B6,0)</f>
        <v>0</v>
      </c>
      <c r="E6" s="8" t="n">
        <f aca="false">SUMIFS(Pazienti!$D$2:$D$501,Pazienti!$A$2:$A$501,"&gt;="&amp;A6,Pazienti!$A$2:$A$501,"&lt;"&amp;(A6+7),Pazienti!$B$2:$B$501,"San Donato")</f>
        <v>0</v>
      </c>
    </row>
    <row r="7" customFormat="false" ht="15" hidden="false" customHeight="false" outlineLevel="0" collapsed="false">
      <c r="A7" s="16" t="n">
        <v>46202</v>
      </c>
      <c r="B7" s="5" t="n">
        <v>17</v>
      </c>
      <c r="C7" s="5"/>
      <c r="D7" s="17" t="n">
        <f aca="false">IFERROR(C7/B7,0)</f>
        <v>0</v>
      </c>
      <c r="E7" s="8" t="n">
        <f aca="false">SUMIFS(Pazienti!$D$2:$D$501,Pazienti!$A$2:$A$501,"&gt;="&amp;A7,Pazienti!$A$2:$A$501,"&lt;"&amp;(A7+7),Pazienti!$B$2:$B$501,"San Donato")</f>
        <v>0</v>
      </c>
    </row>
    <row r="8" customFormat="false" ht="15" hidden="false" customHeight="false" outlineLevel="0" collapsed="false">
      <c r="A8" s="16" t="n">
        <v>46209</v>
      </c>
      <c r="B8" s="5" t="n">
        <v>17</v>
      </c>
      <c r="C8" s="5"/>
      <c r="D8" s="17" t="n">
        <f aca="false">IFERROR(C8/B8,0)</f>
        <v>0</v>
      </c>
      <c r="E8" s="8" t="n">
        <f aca="false">SUMIFS(Pazienti!$D$2:$D$501,Pazienti!$A$2:$A$501,"&gt;="&amp;A8,Pazienti!$A$2:$A$501,"&lt;"&amp;(A8+7),Pazienti!$B$2:$B$501,"San Donato")</f>
        <v>0</v>
      </c>
    </row>
    <row r="9" customFormat="false" ht="15" hidden="false" customHeight="false" outlineLevel="0" collapsed="false">
      <c r="A9" s="16" t="n">
        <v>46216</v>
      </c>
      <c r="B9" s="5" t="n">
        <v>17</v>
      </c>
      <c r="C9" s="5"/>
      <c r="D9" s="17" t="n">
        <f aca="false">IFERROR(C9/B9,0)</f>
        <v>0</v>
      </c>
      <c r="E9" s="8" t="n">
        <f aca="false">SUMIFS(Pazienti!$D$2:$D$501,Pazienti!$A$2:$A$501,"&gt;="&amp;A9,Pazienti!$A$2:$A$501,"&lt;"&amp;(A9+7),Pazienti!$B$2:$B$501,"San Donato")</f>
        <v>0</v>
      </c>
    </row>
    <row r="10" customFormat="false" ht="15" hidden="false" customHeight="false" outlineLevel="0" collapsed="false">
      <c r="A10" s="16" t="n">
        <v>46223</v>
      </c>
      <c r="B10" s="5" t="n">
        <v>17</v>
      </c>
      <c r="C10" s="5"/>
      <c r="D10" s="17" t="n">
        <f aca="false">IFERROR(C10/B10,0)</f>
        <v>0</v>
      </c>
      <c r="E10" s="8" t="n">
        <f aca="false">SUMIFS(Pazienti!$D$2:$D$501,Pazienti!$A$2:$A$501,"&gt;="&amp;A10,Pazienti!$A$2:$A$501,"&lt;"&amp;(A10+7),Pazienti!$B$2:$B$501,"San Donato")</f>
        <v>0</v>
      </c>
    </row>
    <row r="11" customFormat="false" ht="15" hidden="false" customHeight="false" outlineLevel="0" collapsed="false">
      <c r="A11" s="16" t="n">
        <v>46230</v>
      </c>
      <c r="B11" s="5" t="n">
        <v>17</v>
      </c>
      <c r="C11" s="5"/>
      <c r="D11" s="17" t="n">
        <f aca="false">IFERROR(C11/B11,0)</f>
        <v>0</v>
      </c>
      <c r="E11" s="8" t="n">
        <f aca="false">SUMIFS(Pazienti!$D$2:$D$501,Pazienti!$A$2:$A$501,"&gt;="&amp;A11,Pazienti!$A$2:$A$501,"&lt;"&amp;(A11+7),Pazienti!$B$2:$B$501,"San Donato")</f>
        <v>0</v>
      </c>
    </row>
    <row r="12" customFormat="false" ht="15" hidden="false" customHeight="false" outlineLevel="0" collapsed="false">
      <c r="A12" s="16" t="n">
        <v>46237</v>
      </c>
      <c r="B12" s="5" t="n">
        <v>17</v>
      </c>
      <c r="C12" s="5"/>
      <c r="D12" s="17" t="n">
        <f aca="false">IFERROR(C12/B12,0)</f>
        <v>0</v>
      </c>
      <c r="E12" s="8" t="n">
        <f aca="false">SUMIFS(Pazienti!$D$2:$D$501,Pazienti!$A$2:$A$501,"&gt;="&amp;A12,Pazienti!$A$2:$A$501,"&lt;"&amp;(A12+7),Pazienti!$B$2:$B$501,"San Donato")</f>
        <v>0</v>
      </c>
    </row>
    <row r="13" customFormat="false" ht="15" hidden="false" customHeight="false" outlineLevel="0" collapsed="false">
      <c r="A13" s="16" t="n">
        <v>46244</v>
      </c>
      <c r="B13" s="5" t="n">
        <v>17</v>
      </c>
      <c r="C13" s="5"/>
      <c r="D13" s="17" t="n">
        <f aca="false">IFERROR(C13/B13,0)</f>
        <v>0</v>
      </c>
      <c r="E13" s="8" t="n">
        <f aca="false">SUMIFS(Pazienti!$D$2:$D$501,Pazienti!$A$2:$A$501,"&gt;="&amp;A13,Pazienti!$A$2:$A$501,"&lt;"&amp;(A13+7),Pazienti!$B$2:$B$501,"San Donato")</f>
        <v>0</v>
      </c>
    </row>
    <row r="14" customFormat="false" ht="15" hidden="false" customHeight="false" outlineLevel="0" collapsed="false">
      <c r="A14" s="16" t="n">
        <v>46251</v>
      </c>
      <c r="B14" s="5" t="n">
        <v>17</v>
      </c>
      <c r="C14" s="5"/>
      <c r="D14" s="17" t="n">
        <f aca="false">IFERROR(C14/B14,0)</f>
        <v>0</v>
      </c>
      <c r="E14" s="8" t="n">
        <f aca="false">SUMIFS(Pazienti!$D$2:$D$501,Pazienti!$A$2:$A$501,"&gt;="&amp;A14,Pazienti!$A$2:$A$501,"&lt;"&amp;(A14+7),Pazienti!$B$2:$B$501,"San Donato")</f>
        <v>0</v>
      </c>
    </row>
    <row r="15" customFormat="false" ht="15" hidden="false" customHeight="false" outlineLevel="0" collapsed="false">
      <c r="A15" s="16" t="n">
        <v>46258</v>
      </c>
      <c r="B15" s="5" t="n">
        <v>17</v>
      </c>
      <c r="C15" s="5"/>
      <c r="D15" s="17" t="n">
        <f aca="false">IFERROR(C15/B15,0)</f>
        <v>0</v>
      </c>
      <c r="E15" s="8" t="n">
        <f aca="false">SUMIFS(Pazienti!$D$2:$D$501,Pazienti!$A$2:$A$501,"&gt;="&amp;A15,Pazienti!$A$2:$A$501,"&lt;"&amp;(A15+7),Pazienti!$B$2:$B$501,"San Donato")</f>
        <v>0</v>
      </c>
    </row>
    <row r="16" customFormat="false" ht="15" hidden="false" customHeight="false" outlineLevel="0" collapsed="false">
      <c r="A16" s="16" t="n">
        <v>46265</v>
      </c>
      <c r="B16" s="5" t="n">
        <v>17</v>
      </c>
      <c r="C16" s="5"/>
      <c r="D16" s="17" t="n">
        <f aca="false">IFERROR(C16/B16,0)</f>
        <v>0</v>
      </c>
      <c r="E16" s="8" t="n">
        <f aca="false">SUMIFS(Pazienti!$D$2:$D$501,Pazienti!$A$2:$A$501,"&gt;="&amp;A16,Pazienti!$A$2:$A$501,"&lt;"&amp;(A16+7),Pazienti!$B$2:$B$501,"San Donato")</f>
        <v>0</v>
      </c>
    </row>
    <row r="17" customFormat="false" ht="15" hidden="false" customHeight="false" outlineLevel="0" collapsed="false">
      <c r="A17" s="16" t="n">
        <v>46272</v>
      </c>
      <c r="B17" s="5" t="n">
        <v>17</v>
      </c>
      <c r="C17" s="5"/>
      <c r="D17" s="17" t="n">
        <f aca="false">IFERROR(C17/B17,0)</f>
        <v>0</v>
      </c>
      <c r="E17" s="8" t="n">
        <f aca="false">SUMIFS(Pazienti!$D$2:$D$501,Pazienti!$A$2:$A$501,"&gt;="&amp;A17,Pazienti!$A$2:$A$501,"&lt;"&amp;(A17+7),Pazienti!$B$2:$B$501,"San Donato")</f>
        <v>0</v>
      </c>
    </row>
    <row r="18" customFormat="false" ht="15" hidden="false" customHeight="false" outlineLevel="0" collapsed="false">
      <c r="A18" s="16" t="n">
        <v>46279</v>
      </c>
      <c r="B18" s="5" t="n">
        <v>17</v>
      </c>
      <c r="C18" s="5"/>
      <c r="D18" s="17" t="n">
        <f aca="false">IFERROR(C18/B18,0)</f>
        <v>0</v>
      </c>
      <c r="E18" s="8" t="n">
        <f aca="false">SUMIFS(Pazienti!$D$2:$D$501,Pazienti!$A$2:$A$501,"&gt;="&amp;A18,Pazienti!$A$2:$A$501,"&lt;"&amp;(A18+7),Pazienti!$B$2:$B$501,"San Donato")</f>
        <v>0</v>
      </c>
    </row>
    <row r="19" customFormat="false" ht="15" hidden="false" customHeight="false" outlineLevel="0" collapsed="false">
      <c r="A19" s="16" t="n">
        <v>46286</v>
      </c>
      <c r="B19" s="5" t="n">
        <v>17</v>
      </c>
      <c r="C19" s="5"/>
      <c r="D19" s="17" t="n">
        <f aca="false">IFERROR(C19/B19,0)</f>
        <v>0</v>
      </c>
      <c r="E19" s="8" t="n">
        <f aca="false">SUMIFS(Pazienti!$D$2:$D$501,Pazienti!$A$2:$A$501,"&gt;="&amp;A19,Pazienti!$A$2:$A$501,"&lt;"&amp;(A19+7),Pazienti!$B$2:$B$501,"San Donato")</f>
        <v>0</v>
      </c>
    </row>
    <row r="20" customFormat="false" ht="15" hidden="false" customHeight="false" outlineLevel="0" collapsed="false">
      <c r="A20" s="16" t="n">
        <v>46293</v>
      </c>
      <c r="B20" s="5" t="n">
        <v>17</v>
      </c>
      <c r="C20" s="5"/>
      <c r="D20" s="17" t="n">
        <f aca="false">IFERROR(C20/B20,0)</f>
        <v>0</v>
      </c>
      <c r="E20" s="8" t="n">
        <f aca="false">SUMIFS(Pazienti!$D$2:$D$501,Pazienti!$A$2:$A$501,"&gt;="&amp;A20,Pazienti!$A$2:$A$501,"&lt;"&amp;(A20+7),Pazienti!$B$2:$B$501,"San Donato")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24"/>
    <col collapsed="false" customWidth="true" hidden="false" outlineLevel="0" max="5" min="5" style="0" width="30"/>
  </cols>
  <sheetData>
    <row r="1" customFormat="false" ht="17.35" hidden="false" customHeight="false" outlineLevel="0" collapsed="false">
      <c r="A1" s="1" t="s">
        <v>54</v>
      </c>
    </row>
    <row r="2" customFormat="false" ht="15" hidden="false" customHeight="false" outlineLevel="0" collapsed="false">
      <c r="A2" s="2" t="s">
        <v>55</v>
      </c>
    </row>
    <row r="3" customFormat="false" ht="15" hidden="false" customHeight="false" outlineLevel="0" collapsed="false">
      <c r="A3" s="2" t="s">
        <v>56</v>
      </c>
    </row>
    <row r="4" customFormat="false" ht="15" hidden="false" customHeight="false" outlineLevel="0" collapsed="false">
      <c r="A4" s="2" t="s">
        <v>57</v>
      </c>
    </row>
    <row r="6" customFormat="false" ht="15" hidden="false" customHeight="false" outlineLevel="0" collapsed="false">
      <c r="A6" s="10" t="s">
        <v>58</v>
      </c>
      <c r="B6" s="10" t="s">
        <v>59</v>
      </c>
      <c r="C6" s="10" t="s">
        <v>60</v>
      </c>
      <c r="D6" s="10" t="s">
        <v>61</v>
      </c>
      <c r="E6" s="10" t="s">
        <v>62</v>
      </c>
    </row>
    <row r="7" customFormat="false" ht="15" hidden="false" customHeight="false" outlineLevel="0" collapsed="false">
      <c r="A7" s="11"/>
    </row>
    <row r="8" customFormat="false" ht="15" hidden="false" customHeight="false" outlineLevel="0" collapsed="false">
      <c r="A8" s="11"/>
    </row>
    <row r="9" customFormat="false" ht="15" hidden="false" customHeight="false" outlineLevel="0" collapsed="false">
      <c r="A9" s="11"/>
    </row>
    <row r="10" customFormat="false" ht="15" hidden="false" customHeight="false" outlineLevel="0" collapsed="false">
      <c r="A10" s="11"/>
    </row>
    <row r="11" customFormat="false" ht="15" hidden="false" customHeight="false" outlineLevel="0" collapsed="false">
      <c r="A11" s="11"/>
    </row>
    <row r="12" customFormat="false" ht="15" hidden="false" customHeight="false" outlineLevel="0" collapsed="false">
      <c r="A12" s="11"/>
    </row>
    <row r="13" customFormat="false" ht="15" hidden="false" customHeight="false" outlineLevel="0" collapsed="false">
      <c r="A13" s="11"/>
    </row>
    <row r="14" customFormat="false" ht="15" hidden="false" customHeight="false" outlineLevel="0" collapsed="false">
      <c r="A14" s="11"/>
    </row>
    <row r="15" customFormat="false" ht="15" hidden="false" customHeight="false" outlineLevel="0" collapsed="false">
      <c r="A15" s="11"/>
    </row>
    <row r="16" customFormat="false" ht="15" hidden="false" customHeight="false" outlineLevel="0" collapsed="false">
      <c r="A16" s="11"/>
    </row>
    <row r="17" customFormat="false" ht="15" hidden="false" customHeight="false" outlineLevel="0" collapsed="false">
      <c r="A17" s="11"/>
    </row>
    <row r="18" customFormat="false" ht="15" hidden="false" customHeight="false" outlineLevel="0" collapsed="false">
      <c r="A18" s="11"/>
    </row>
    <row r="19" customFormat="false" ht="15" hidden="false" customHeight="false" outlineLevel="0" collapsed="false">
      <c r="A19" s="11"/>
    </row>
    <row r="20" customFormat="false" ht="15" hidden="false" customHeight="false" outlineLevel="0" collapsed="false">
      <c r="A20" s="11"/>
    </row>
    <row r="21" customFormat="false" ht="15" hidden="false" customHeight="false" outlineLevel="0" collapsed="false">
      <c r="A21" s="11"/>
    </row>
    <row r="22" customFormat="false" ht="15" hidden="false" customHeight="false" outlineLevel="0" collapsed="false">
      <c r="A22" s="11"/>
    </row>
    <row r="23" customFormat="false" ht="15" hidden="false" customHeight="false" outlineLevel="0" collapsed="false">
      <c r="A23" s="11"/>
    </row>
    <row r="24" customFormat="false" ht="15" hidden="false" customHeight="false" outlineLevel="0" collapsed="false">
      <c r="A24" s="11"/>
    </row>
    <row r="25" customFormat="false" ht="15" hidden="false" customHeight="false" outlineLevel="0" collapsed="false">
      <c r="A25" s="11"/>
    </row>
    <row r="26" customFormat="false" ht="15" hidden="false" customHeight="false" outlineLevel="0" collapsed="false">
      <c r="A26" s="11"/>
    </row>
    <row r="27" customFormat="false" ht="15" hidden="false" customHeight="false" outlineLevel="0" collapsed="false">
      <c r="A27" s="11"/>
    </row>
    <row r="28" customFormat="false" ht="15" hidden="false" customHeight="false" outlineLevel="0" collapsed="false">
      <c r="A28" s="11"/>
    </row>
    <row r="29" customFormat="false" ht="15" hidden="false" customHeight="false" outlineLevel="0" collapsed="false">
      <c r="A29" s="11"/>
    </row>
    <row r="30" customFormat="false" ht="15" hidden="false" customHeight="false" outlineLevel="0" collapsed="false">
      <c r="A30" s="11"/>
    </row>
    <row r="31" customFormat="false" ht="15" hidden="false" customHeight="false" outlineLevel="0" collapsed="false">
      <c r="A31" s="11"/>
    </row>
    <row r="32" customFormat="false" ht="15" hidden="false" customHeight="false" outlineLevel="0" collapsed="false">
      <c r="A32" s="11"/>
    </row>
    <row r="33" customFormat="false" ht="15" hidden="false" customHeight="false" outlineLevel="0" collapsed="false">
      <c r="A33" s="11"/>
    </row>
    <row r="34" customFormat="false" ht="15" hidden="false" customHeight="false" outlineLevel="0" collapsed="false">
      <c r="A34" s="11"/>
    </row>
    <row r="35" customFormat="false" ht="15" hidden="false" customHeight="false" outlineLevel="0" collapsed="false">
      <c r="A35" s="11"/>
    </row>
    <row r="36" customFormat="false" ht="15" hidden="false" customHeight="false" outlineLevel="0" collapsed="false">
      <c r="A36" s="11"/>
    </row>
    <row r="37" customFormat="false" ht="15" hidden="false" customHeight="false" outlineLevel="0" collapsed="false">
      <c r="A37" s="11"/>
    </row>
    <row r="38" customFormat="false" ht="15" hidden="false" customHeight="false" outlineLevel="0" collapsed="false">
      <c r="A38" s="11"/>
    </row>
    <row r="39" customFormat="false" ht="15" hidden="false" customHeight="false" outlineLevel="0" collapsed="false">
      <c r="A39" s="11"/>
    </row>
    <row r="40" customFormat="false" ht="15" hidden="false" customHeight="false" outlineLevel="0" collapsed="false">
      <c r="A40" s="11"/>
    </row>
    <row r="41" customFormat="false" ht="15" hidden="false" customHeight="false" outlineLevel="0" collapsed="false">
      <c r="A41" s="11"/>
    </row>
    <row r="42" customFormat="false" ht="15" hidden="false" customHeight="false" outlineLevel="0" collapsed="false">
      <c r="A42" s="11"/>
    </row>
    <row r="43" customFormat="false" ht="15" hidden="false" customHeight="false" outlineLevel="0" collapsed="false">
      <c r="A43" s="11"/>
    </row>
    <row r="44" customFormat="false" ht="15" hidden="false" customHeight="false" outlineLevel="0" collapsed="false">
      <c r="A44" s="11"/>
    </row>
    <row r="45" customFormat="false" ht="15" hidden="false" customHeight="false" outlineLevel="0" collapsed="false">
      <c r="A45" s="11"/>
    </row>
    <row r="46" customFormat="false" ht="15" hidden="false" customHeight="false" outlineLevel="0" collapsed="false">
      <c r="A46" s="11"/>
    </row>
    <row r="47" customFormat="false" ht="15" hidden="false" customHeight="false" outlineLevel="0" collapsed="false">
      <c r="A47" s="11"/>
    </row>
    <row r="48" customFormat="false" ht="15" hidden="false" customHeight="false" outlineLevel="0" collapsed="false">
      <c r="A48" s="11"/>
    </row>
    <row r="49" customFormat="false" ht="15" hidden="false" customHeight="false" outlineLevel="0" collapsed="false">
      <c r="A49" s="11"/>
    </row>
    <row r="50" customFormat="false" ht="15" hidden="false" customHeight="false" outlineLevel="0" collapsed="false">
      <c r="A50" s="11"/>
    </row>
    <row r="51" customFormat="false" ht="15" hidden="false" customHeight="false" outlineLevel="0" collapsed="false">
      <c r="A51" s="11"/>
    </row>
    <row r="52" customFormat="false" ht="15" hidden="false" customHeight="false" outlineLevel="0" collapsed="false">
      <c r="A52" s="11"/>
    </row>
    <row r="53" customFormat="false" ht="15" hidden="false" customHeight="false" outlineLevel="0" collapsed="false">
      <c r="A53" s="11"/>
    </row>
    <row r="54" customFormat="false" ht="15" hidden="false" customHeight="false" outlineLevel="0" collapsed="false">
      <c r="A54" s="11"/>
    </row>
    <row r="55" customFormat="false" ht="15" hidden="false" customHeight="false" outlineLevel="0" collapsed="false">
      <c r="A55" s="11"/>
    </row>
    <row r="56" customFormat="false" ht="15" hidden="false" customHeight="false" outlineLevel="0" collapsed="false">
      <c r="A56" s="11"/>
    </row>
  </sheetData>
  <dataValidations count="1">
    <dataValidation allowBlank="true" errorStyle="stop" operator="between" showDropDown="false" showErrorMessage="false" showInputMessage="false" sqref="B7:B56" type="list">
      <formula1>"Search Console,GA4,Recensione,Altro"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2026-06-13T07:50:42Z</dcterms:created>
  <dc:creator>openpyxl</dc:creator>
  <dc:description/>
  <dc:language>en-US</dc:language>
  <cp:lastModifiedBy/>
  <dcterms:modified xsi:type="dcterms:W3CDTF">2026-06-13T07:50:42Z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